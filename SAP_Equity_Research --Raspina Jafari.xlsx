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ajras\Downloads\"/>
    </mc:Choice>
  </mc:AlternateContent>
  <xr:revisionPtr revIDLastSave="0" documentId="8_{6E7DFEC1-FE85-4E91-83EB-6971C3846258}" xr6:coauthVersionLast="47" xr6:coauthVersionMax="47" xr10:uidLastSave="{00000000-0000-0000-0000-000000000000}"/>
  <bookViews>
    <workbookView xWindow="-108" yWindow="-108" windowWidth="23256" windowHeight="12456" firstSheet="7" activeTab="7" xr2:uid="{485F4446-6440-404F-9AB2-97B7B6D77184}"/>
  </bookViews>
  <sheets>
    <sheet name="1_Overview" sheetId="1" r:id="rId1"/>
    <sheet name="2_ProForma" sheetId="2" r:id="rId2"/>
    <sheet name="3_TVM" sheetId="3" r:id="rId3"/>
    <sheet name="4_Bonds" sheetId="4" r:id="rId4"/>
    <sheet name="5_StockVal" sheetId="5" r:id="rId5"/>
    <sheet name="6_CAPM_WACC" sheetId="6" r:id="rId6"/>
    <sheet name="7_CapBudget" sheetId="7" r:id="rId7"/>
    <sheet name="8_DCF_Verdic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34" i="5"/>
  <c r="E15" i="2"/>
  <c r="D15" i="2"/>
  <c r="C15" i="2"/>
  <c r="B9" i="8"/>
  <c r="C13" i="8"/>
  <c r="D13" i="8"/>
  <c r="E13" i="8"/>
  <c r="F13" i="8"/>
  <c r="G13" i="8"/>
  <c r="B16" i="8"/>
  <c r="B17" i="8"/>
  <c r="B18" i="8"/>
  <c r="B19" i="8"/>
  <c r="B20" i="8"/>
  <c r="B22" i="8"/>
  <c r="B23" i="8"/>
  <c r="B27" i="8" s="1"/>
  <c r="B31" i="8" s="1"/>
  <c r="B33" i="8" s="1"/>
  <c r="B34" i="8" s="1"/>
  <c r="B24" i="8"/>
  <c r="B25" i="8"/>
  <c r="B26" i="8"/>
  <c r="B29" i="8"/>
  <c r="B30" i="8"/>
  <c r="B32" i="8"/>
  <c r="B38" i="8"/>
  <c r="B45" i="8"/>
  <c r="B46" i="8"/>
  <c r="B47" i="8"/>
  <c r="B54" i="8"/>
  <c r="B29" i="7"/>
  <c r="B28" i="7"/>
  <c r="B21" i="7"/>
  <c r="C15" i="7"/>
  <c r="C16" i="7" s="1"/>
  <c r="D15" i="7"/>
  <c r="D16" i="7" s="1"/>
  <c r="D17" i="7" s="1"/>
  <c r="E15" i="7"/>
  <c r="F15" i="7"/>
  <c r="G15" i="7"/>
  <c r="H15" i="7"/>
  <c r="I15" i="7"/>
  <c r="E16" i="7"/>
  <c r="F16" i="7"/>
  <c r="G16" i="7"/>
  <c r="H16" i="7"/>
  <c r="I16" i="7"/>
  <c r="B18" i="7"/>
  <c r="B10" i="5"/>
  <c r="B28" i="6"/>
  <c r="B27" i="6"/>
  <c r="B26" i="6"/>
  <c r="B25" i="6"/>
  <c r="D18" i="6"/>
  <c r="C19" i="6"/>
  <c r="C18" i="6"/>
  <c r="B21" i="6"/>
  <c r="B9" i="6"/>
  <c r="B8" i="6"/>
  <c r="B33" i="5"/>
  <c r="C34" i="5"/>
  <c r="C33" i="5"/>
  <c r="C32" i="5"/>
  <c r="B32" i="5"/>
  <c r="C31" i="5"/>
  <c r="D33" i="5"/>
  <c r="D32" i="5"/>
  <c r="B27" i="5"/>
  <c r="B25" i="5"/>
  <c r="B20" i="5"/>
  <c r="B19" i="5"/>
  <c r="B17" i="5"/>
  <c r="B8" i="5"/>
  <c r="C12" i="2"/>
  <c r="B14" i="4"/>
  <c r="B20" i="4"/>
  <c r="B19" i="4"/>
  <c r="B21" i="4"/>
  <c r="B22" i="4"/>
  <c r="B23" i="4"/>
  <c r="B24" i="4"/>
  <c r="B18" i="4"/>
  <c r="B12" i="4"/>
  <c r="B7" i="4"/>
  <c r="B14" i="3"/>
  <c r="B24" i="3"/>
  <c r="B18" i="3"/>
  <c r="C14" i="3"/>
  <c r="C13" i="3"/>
  <c r="B13" i="3"/>
  <c r="C12" i="3"/>
  <c r="B12" i="3"/>
  <c r="E11" i="1"/>
  <c r="F11" i="1"/>
  <c r="G11" i="1"/>
  <c r="D11" i="1"/>
  <c r="G10" i="1"/>
  <c r="E10" i="1"/>
  <c r="F10" i="1"/>
  <c r="D10" i="1"/>
  <c r="G31" i="1"/>
  <c r="G30" i="1"/>
  <c r="D33" i="1"/>
  <c r="E33" i="1"/>
  <c r="F33" i="1"/>
  <c r="G33" i="1"/>
  <c r="D32" i="1"/>
  <c r="E32" i="1"/>
  <c r="F32" i="1"/>
  <c r="G32" i="1"/>
  <c r="D31" i="1"/>
  <c r="E31" i="1"/>
  <c r="F31" i="1"/>
  <c r="D30" i="1"/>
  <c r="E30" i="1"/>
  <c r="F30" i="1"/>
  <c r="B22" i="3" l="1"/>
  <c r="B25" i="3" s="1"/>
  <c r="B19" i="3"/>
  <c r="B50" i="8"/>
  <c r="B53" i="8" s="1"/>
  <c r="B37" i="8"/>
  <c r="D18" i="7"/>
  <c r="E17" i="7"/>
  <c r="E18" i="7" s="1"/>
  <c r="F17" i="7"/>
  <c r="F18" i="7" s="1"/>
  <c r="G17" i="7"/>
  <c r="G18" i="7" s="1"/>
  <c r="H17" i="7"/>
  <c r="H18" i="7" s="1"/>
  <c r="I17" i="7"/>
  <c r="I18" i="7" s="1"/>
  <c r="C17" i="7"/>
  <c r="C18" i="7" s="1"/>
  <c r="B31" i="5"/>
  <c r="B11" i="5"/>
  <c r="D31" i="5"/>
  <c r="D12" i="2"/>
  <c r="B13" i="4"/>
  <c r="C13" i="2"/>
  <c r="C14" i="2"/>
  <c r="C22" i="2" s="1"/>
  <c r="C21" i="2"/>
  <c r="C16" i="2"/>
  <c r="C17" i="2" l="1"/>
  <c r="B56" i="8"/>
  <c r="B55" i="8"/>
  <c r="B40" i="8"/>
  <c r="B39" i="8"/>
  <c r="B30" i="7"/>
  <c r="B22" i="7"/>
  <c r="E12" i="2"/>
  <c r="D21" i="2"/>
  <c r="D16" i="2"/>
  <c r="D14" i="2"/>
  <c r="D22" i="2" s="1"/>
  <c r="D13" i="2"/>
  <c r="E14" i="2"/>
  <c r="E13" i="2"/>
  <c r="D17" i="2"/>
  <c r="B24" i="7" l="1"/>
  <c r="E22" i="2"/>
  <c r="E16" i="2"/>
  <c r="E17" i="2" s="1"/>
  <c r="E21" i="2"/>
  <c r="B22" i="6"/>
  <c r="B29" i="6" s="1"/>
  <c r="B25" i="7" l="1"/>
</calcChain>
</file>

<file path=xl/sharedStrings.xml><?xml version="1.0" encoding="utf-8"?>
<sst xmlns="http://schemas.openxmlformats.org/spreadsheetml/2006/main" count="296" uniqueCount="269">
  <si>
    <t>SAP SE — Financial Analysis</t>
  </si>
  <si>
    <t>Source: Yahoo Finance via yfinance | Analysis date: March 2026</t>
  </si>
  <si>
    <t>=======================================================</t>
  </si>
  <si>
    <t>SAP SE — KEY FINANCIALS (€ Millions)</t>
  </si>
  <si>
    <t xml:space="preserve">INCOME STATEMENT             </t>
  </si>
  <si>
    <t xml:space="preserve">  Total Revenue             </t>
  </si>
  <si>
    <t xml:space="preserve">  Gross Profit                </t>
  </si>
  <si>
    <t xml:space="preserve">  Net Income                  </t>
  </si>
  <si>
    <t xml:space="preserve">  Depreciation</t>
  </si>
  <si>
    <t xml:space="preserve">  Total Assets                  </t>
  </si>
  <si>
    <t xml:space="preserve">  Total Debt                    </t>
  </si>
  <si>
    <t xml:space="preserve">  Stockholders Equity        </t>
  </si>
  <si>
    <t xml:space="preserve">CASH FLOW                       </t>
  </si>
  <si>
    <t xml:space="preserve">  Free Cash Flow                </t>
  </si>
  <si>
    <t xml:space="preserve">  Operating Cash Flow           </t>
  </si>
  <si>
    <t>KEY MARKET DATA</t>
  </si>
  <si>
    <t xml:space="preserve">  Current Price:    </t>
  </si>
  <si>
    <t xml:space="preserve">  P/E Ratio:        </t>
  </si>
  <si>
    <t xml:space="preserve">  Market Cap:        </t>
  </si>
  <si>
    <t>€171.7B</t>
  </si>
  <si>
    <t xml:space="preserve">  Beta:           </t>
  </si>
  <si>
    <t xml:space="preserve">  Dividend Yield:   </t>
  </si>
  <si>
    <t xml:space="preserve">  52w High:         </t>
  </si>
  <si>
    <t xml:space="preserve">  52w Low:           </t>
  </si>
  <si>
    <t>RATIOS</t>
  </si>
  <si>
    <t xml:space="preserve">Gross Margin % </t>
  </si>
  <si>
    <t>Net Margin %</t>
  </si>
  <si>
    <t xml:space="preserve">Debt to equity </t>
  </si>
  <si>
    <t>ROE %</t>
  </si>
  <si>
    <t>ANALYST NOTE :</t>
  </si>
  <si>
    <t>- Revenue grew 24% from 2022 to 2025 — strong consistent growth</t>
  </si>
  <si>
    <t>- Net margin dropped to 9.1% in 2024 due to €2.2B restructuring charge — one-off event, not structural weakness</t>
  </si>
  <si>
    <t>- Gross margin stable above 72% all 4 years — highly profitable software business</t>
  </si>
  <si>
    <t>- Free cash flow surged to €8.4B in 2025 — strongest cash generation in 4 years</t>
  </si>
  <si>
    <t>- Debt-to-equity spiked in 2023 (32.6%) then fell to 16.8% by 2025 — debt being actively reduced</t>
  </si>
  <si>
    <t>- Beta 0.692 — SAP is less volatile than the broader market, lower risk profile for investors</t>
  </si>
  <si>
    <t>SAP SE — Pro Forma Financial Forecast</t>
  </si>
  <si>
    <t>Method: Percentage of Sales | Assumption: 8% annual revenue growth</t>
  </si>
  <si>
    <t xml:space="preserve">ASSUMPTIONS  </t>
  </si>
  <si>
    <t xml:space="preserve">2025 Actual </t>
  </si>
  <si>
    <t>2026F</t>
  </si>
  <si>
    <t>2027F</t>
  </si>
  <si>
    <t>2028F</t>
  </si>
  <si>
    <t xml:space="preserve">  Revenue Growth %</t>
  </si>
  <si>
    <t xml:space="preserve">  Gross Margin %</t>
  </si>
  <si>
    <t xml:space="preserve">  Net Margin %</t>
  </si>
  <si>
    <t xml:space="preserve">  Capex % of Revenue</t>
  </si>
  <si>
    <t>FORECAST ( € Millions)</t>
  </si>
  <si>
    <t xml:space="preserve">  Total Revenue</t>
  </si>
  <si>
    <t xml:space="preserve">  Gross Profit </t>
  </si>
  <si>
    <t xml:space="preserve">  Net Income </t>
  </si>
  <si>
    <t xml:space="preserve"> Operating Cash Flow</t>
  </si>
  <si>
    <t xml:space="preserve">  Capex </t>
  </si>
  <si>
    <t xml:space="preserve">  Free Cash Flows</t>
  </si>
  <si>
    <t xml:space="preserve">GROWTH RATES </t>
  </si>
  <si>
    <t xml:space="preserve">  Net Income Growth %</t>
  </si>
  <si>
    <t xml:space="preserve"> - 8% growth based on SAP's 2022-2025 revenue CAGR of 7.6%</t>
  </si>
  <si>
    <t xml:space="preserve"> - Gross margin held at 72.9% — conservative, in line with recent performance</t>
  </si>
  <si>
    <t xml:space="preserve"> - Net margin normalized at 19.5% — excludes 2024 one-off restructuring charge</t>
  </si>
  <si>
    <t xml:space="preserve"> - SAP projected to reach €46.4B revenue by 2028 — consistent with cloud growth strategy</t>
  </si>
  <si>
    <t xml:space="preserve"> - Free cash flow growth supports continued dividends and potential share buybacks</t>
  </si>
  <si>
    <t xml:space="preserve"> - Sensitivity: if growth drops to 5%, 2028 revenue = €42.6B — still strong</t>
  </si>
  <si>
    <t xml:space="preserve">  -9,156 / 36,800 = 24.88%</t>
  </si>
  <si>
    <t>SAP SE — Time Value of Money</t>
  </si>
  <si>
    <t>Question: Is investing €10,000 in SAP today better than a savings account?</t>
  </si>
  <si>
    <t>ASSUMPTIONS</t>
  </si>
  <si>
    <t>Initial Investment (€)</t>
  </si>
  <si>
    <t>SAP Expected Return %</t>
  </si>
  <si>
    <t>Savings Account Rate %</t>
  </si>
  <si>
    <t>Years</t>
  </si>
  <si>
    <t>FUTURE VALUE ANALYSIS</t>
  </si>
  <si>
    <t>SAP Investment</t>
  </si>
  <si>
    <t>Savings Account</t>
  </si>
  <si>
    <t>Future Value (€)</t>
  </si>
  <si>
    <t>Total Gain (€)</t>
  </si>
  <si>
    <t>Return Multiple</t>
  </si>
  <si>
    <t>PRESENT VALUE ANALYSIS</t>
  </si>
  <si>
    <t>SAP Dividend next year (€)</t>
  </si>
  <si>
    <t>Required Return %</t>
  </si>
  <si>
    <t>PV of Dividend (€)</t>
  </si>
  <si>
    <t>ANNUITY ANALYSIS</t>
  </si>
  <si>
    <t>Annual Dividend (€)</t>
  </si>
  <si>
    <t>PV of Annuity (€)</t>
  </si>
  <si>
    <t>- €10,000 in SAP at 12% return grows to much more than a savings account over 10 years</t>
  </si>
  <si>
    <t xml:space="preserve"> - This demonstrates why equity investing beats cash savings long term</t>
  </si>
  <si>
    <t>- PV of dividend annuity shows what SAP's dividend stream is worth today</t>
  </si>
  <si>
    <t xml:space="preserve"> - Required return of 12% based on CAPM estimate </t>
  </si>
  <si>
    <t>SAP SE — Bond Valuation</t>
  </si>
  <si>
    <t>Question: What is a SAP bond worth at different interest rates?</t>
  </si>
  <si>
    <t>BOND PARAMETERS</t>
  </si>
  <si>
    <t>Face Value (€)</t>
  </si>
  <si>
    <t>Coupon Rate %</t>
  </si>
  <si>
    <t>Annual Coupon (€)</t>
  </si>
  <si>
    <t>Years to Maturity</t>
  </si>
  <si>
    <t>Current Market Yield %</t>
  </si>
  <si>
    <t>BOND PRICE</t>
  </si>
  <si>
    <t>Bond Price (€)</t>
  </si>
  <si>
    <t>Premium / Discount (€)</t>
  </si>
  <si>
    <t>Status</t>
  </si>
  <si>
    <t>INTEREST RATE SENSITIVITY</t>
  </si>
  <si>
    <t>Market Yield %</t>
  </si>
  <si>
    <t>Price (€)</t>
  </si>
  <si>
    <t xml:space="preserve">(coupon rate) </t>
  </si>
  <si>
    <t xml:space="preserve"> (current yield) </t>
  </si>
  <si>
    <t>- SAP issued bonds at 3% coupon — currently trading at discount as ECB raised rates</t>
  </si>
  <si>
    <t xml:space="preserve"> - When market yield RISES above coupon rate, bond price FALLS below face value</t>
  </si>
  <si>
    <t xml:space="preserve"> - When market yield FALLS below coupon rate, bond price RISES above face value</t>
  </si>
  <si>
    <t xml:space="preserve"> - This inverse relationship is the key concept of fixed income investing</t>
  </si>
  <si>
    <t xml:space="preserve"> - Duration: longer maturity = more sensitive to rate changes</t>
  </si>
  <si>
    <t xml:space="preserve"> - ECB context: rising rates in 2022-2023 hurt bond prices across European markets</t>
  </si>
  <si>
    <t>SAP SE — Stock Valuation</t>
  </si>
  <si>
    <t>Question: What is SAP's intrinsic value — is it overpriced or underpriced?</t>
  </si>
  <si>
    <t>METHOD 1 — DIVIDEND DISCOUNT MODEL (DDM)</t>
  </si>
  <si>
    <t>Last Dividend Paid (€)</t>
  </si>
  <si>
    <t>Dividend Growth Rate %</t>
  </si>
  <si>
    <t>Intrinsic Value DDM (€)</t>
  </si>
  <si>
    <t>Current Market Price (€)</t>
  </si>
  <si>
    <t xml:space="preserve">Status </t>
  </si>
  <si>
    <t>Margin of Safety %</t>
  </si>
  <si>
    <t>METHOD 2 — P/E VALUATION</t>
  </si>
  <si>
    <t>EPS 2025 (€)</t>
  </si>
  <si>
    <t>Industry Average P/E</t>
  </si>
  <si>
    <t xml:space="preserve">SAP Current P/E     </t>
  </si>
  <si>
    <t>Intrinsic Value P/E (€)</t>
  </si>
  <si>
    <t>Upside / Downside %</t>
  </si>
  <si>
    <t>METHOD 3 — PRICE TO BOOK</t>
  </si>
  <si>
    <t>Book Value per Share (€)</t>
  </si>
  <si>
    <t>Industry P/B Ratio</t>
  </si>
  <si>
    <t>Intrinsic Value P/B (€)</t>
  </si>
  <si>
    <t>VALUATION SUMMARY</t>
  </si>
  <si>
    <t>Intrinsic Value</t>
  </si>
  <si>
    <t>Market Price</t>
  </si>
  <si>
    <t xml:space="preserve">Signal </t>
  </si>
  <si>
    <t xml:space="preserve">DDM Method </t>
  </si>
  <si>
    <t>P/E Method</t>
  </si>
  <si>
    <t>P/B Method</t>
  </si>
  <si>
    <t>Average Intrinsic Value</t>
  </si>
  <si>
    <t xml:space="preserve"> ANALYST NOTE :</t>
  </si>
  <si>
    <t>- DDM assumes 6% dividend growth — in line with SAP's historical dividend increases</t>
  </si>
  <si>
    <t xml:space="preserve"> - Required return of 12% derived from CAPM (calculated in Tab 6)</t>
  </si>
  <si>
    <t>- P/E method uses software industry average P/E of 28x as benchmark</t>
  </si>
  <si>
    <t xml:space="preserve"> - SAP trading at 24.1x vs industry 28x suggests potential undervaluation on earnings basis</t>
  </si>
  <si>
    <t xml:space="preserve"> - Average of three methods gives most balanced intrinsic value estimate</t>
  </si>
  <si>
    <t xml:space="preserve"> - Final verdict incorporated into DCF model in Tab 8</t>
  </si>
  <si>
    <t>SAP SE — Risk, Return, CAPM &amp; WACC</t>
  </si>
  <si>
    <t xml:space="preserve">Question: What return should investors demand from SAP given its risk? </t>
  </si>
  <si>
    <t>CAPM — COST OF EQUITY</t>
  </si>
  <si>
    <t>Risk-Free Rate % (German Bund)</t>
  </si>
  <si>
    <t xml:space="preserve">Beta (calculated from regression) </t>
  </si>
  <si>
    <t xml:space="preserve">Market Return % (DAX avg) </t>
  </si>
  <si>
    <t xml:space="preserve">Market Risk Premium % </t>
  </si>
  <si>
    <t xml:space="preserve">CAPM Required Return % </t>
  </si>
  <si>
    <t>INTERPRETATION</t>
  </si>
  <si>
    <t xml:space="preserve">Beta below 1.0 means </t>
  </si>
  <si>
    <t>SAP is less volatile than market</t>
  </si>
  <si>
    <t>Beta of 0.909</t>
  </si>
  <si>
    <t>1% market move = 0.909 % SAP move</t>
  </si>
  <si>
    <t xml:space="preserve">CAPM return means </t>
  </si>
  <si>
    <t>Investors should demand 7.50% return</t>
  </si>
  <si>
    <t>WACC — WEIGHTED AVERAGE COST OF CAPITAL</t>
  </si>
  <si>
    <t xml:space="preserve">Value (€M) </t>
  </si>
  <si>
    <t xml:space="preserve">Weight Weight </t>
  </si>
  <si>
    <t>Cost</t>
  </si>
  <si>
    <t xml:space="preserve">Equity (Market Cap) </t>
  </si>
  <si>
    <t xml:space="preserve">Debt (Total Debt) </t>
  </si>
  <si>
    <t>Tax Rate %</t>
  </si>
  <si>
    <t xml:space="preserve">After-tax Cost of Debt </t>
  </si>
  <si>
    <t xml:space="preserve">WACC % </t>
  </si>
  <si>
    <t>WACC BREAKDOWN</t>
  </si>
  <si>
    <t>Cost of Equity</t>
  </si>
  <si>
    <t xml:space="preserve">Cost of Debt (after tax) </t>
  </si>
  <si>
    <t>Equity Weight</t>
  </si>
  <si>
    <t>Debt Weight</t>
  </si>
  <si>
    <t>WACC</t>
  </si>
  <si>
    <t xml:space="preserve"> - Beta calculated from 5-year daily regression of SAP vs DAX index</t>
  </si>
  <si>
    <t xml:space="preserve"> - Beta below 1.0 confirms SAP is defensive — moves less than broader market</t>
  </si>
  <si>
    <t xml:space="preserve"> - Risk-free rate = German 10-year Bund yield (2.5% as of early 2026)</t>
  </si>
  <si>
    <t xml:space="preserve"> - Market risk premium = 5.5% (DAX historical average minus risk-free rate)</t>
  </si>
  <si>
    <t xml:space="preserve"> - WACC used as discount rate in DCF valuation (Tab 8)</t>
  </si>
  <si>
    <t xml:space="preserve"> - SAP is primarily equity-financed — low debt means lower financial risk</t>
  </si>
  <si>
    <t>Values were calculated using python :</t>
  </si>
  <si>
    <t xml:space="preserve">Beta: 0.9094 </t>
  </si>
  <si>
    <t xml:space="preserve">Risk-Free Rate: 2.5% </t>
  </si>
  <si>
    <t xml:space="preserve">Market Return: 8.0% </t>
  </si>
  <si>
    <t>CAPM Required Return:7.5017%</t>
  </si>
  <si>
    <t>SAP SE — Capital Budgeting</t>
  </si>
  <si>
    <t>Question: Should SAP invest €500M in expanding its cloud infrastructure?</t>
  </si>
  <si>
    <t>PROJECT PARAMETERS</t>
  </si>
  <si>
    <t>Initial Investment (€M)</t>
  </si>
  <si>
    <t>Project Life (years)</t>
  </si>
  <si>
    <t>Discount Rate % (WACC)</t>
  </si>
  <si>
    <t>Salvage Value (€M)</t>
  </si>
  <si>
    <t>PROJECTED CASH FLOWS (€ Millions)</t>
  </si>
  <si>
    <t>Year</t>
  </si>
  <si>
    <t xml:space="preserve">Revenue </t>
  </si>
  <si>
    <t xml:space="preserve">Operating Cost </t>
  </si>
  <si>
    <t>Depreciation</t>
  </si>
  <si>
    <t>EBIT</t>
  </si>
  <si>
    <t>Tax</t>
  </si>
  <si>
    <t xml:space="preserve">Net Cash Flow </t>
  </si>
  <si>
    <t>INVESTMENT DECISION METRICS</t>
  </si>
  <si>
    <t>NPV (€M)</t>
  </si>
  <si>
    <t>IRR %</t>
  </si>
  <si>
    <t>Payback Period (yrs)</t>
  </si>
  <si>
    <t>Profitability Index</t>
  </si>
  <si>
    <t>Decision</t>
  </si>
  <si>
    <t>SENSITIVITY ANALYSIS</t>
  </si>
  <si>
    <t>Base Case NVP</t>
  </si>
  <si>
    <t>Discount Rate 8%</t>
  </si>
  <si>
    <t>Discount Rate 10%</t>
  </si>
  <si>
    <t>Discount Rate 12%</t>
  </si>
  <si>
    <t xml:space="preserve"> - Project modeled on SAP's actual cloud expansion strategy announced 2023</t>
  </si>
  <si>
    <t xml:space="preserve"> - Revenue grows 12.5% annually — conservative vs SAP cloud segment growth of 25%+</t>
  </si>
  <si>
    <t xml:space="preserve"> - NPV positive = project creates shareholder value — ACCEPT</t>
  </si>
  <si>
    <t xml:space="preserve"> - IRR above WACC = project return exceeds cost of capital</t>
  </si>
  <si>
    <t xml:space="preserve"> - Payback period under 5 years = acceptable for a technology infrastructure project</t>
  </si>
  <si>
    <t xml:space="preserve"> - Salvage value of €50M assumes partial recovery of hardware assets at end of life</t>
  </si>
  <si>
    <t>SAP SE — DCF Valuation &amp; Final Verdict</t>
  </si>
  <si>
    <t>Question: What is SAP worth and should you BUY, HOLD or SELL?</t>
  </si>
  <si>
    <t>DCF ASSUMPTIONS</t>
  </si>
  <si>
    <t>Terminal Growth Rate %</t>
  </si>
  <si>
    <t>Shares Outstanding (M)</t>
  </si>
  <si>
    <t>Net Debt (€M)</t>
  </si>
  <si>
    <t>FREE CASH FLOW FORECAST (€ Millions)</t>
  </si>
  <si>
    <t>2025A</t>
  </si>
  <si>
    <t>2029F</t>
  </si>
  <si>
    <t>2030F</t>
  </si>
  <si>
    <t>FCF</t>
  </si>
  <si>
    <t>DCF VALUATION</t>
  </si>
  <si>
    <t>Discount Factor Year 1</t>
  </si>
  <si>
    <t>Discount Factor Year 2</t>
  </si>
  <si>
    <t>Discount Factor Year 3</t>
  </si>
  <si>
    <t>Discount Factor Year 4</t>
  </si>
  <si>
    <t>Discount Factor Year 5</t>
  </si>
  <si>
    <t>PV of FCF Year 1</t>
  </si>
  <si>
    <t>PV of FCF Year 2</t>
  </si>
  <si>
    <t>PV of FCF Year 3</t>
  </si>
  <si>
    <t>PV of FCF Year 4</t>
  </si>
  <si>
    <t>PV of FCF Year 5</t>
  </si>
  <si>
    <t>Sum of PV FCFs</t>
  </si>
  <si>
    <t>Terminal Value</t>
  </si>
  <si>
    <t>PV of Terminal Value</t>
  </si>
  <si>
    <t>Enterprise Value (€M)</t>
  </si>
  <si>
    <t>Less Net Debt (€M)</t>
  </si>
  <si>
    <t>Equity Value (€M)</t>
  </si>
  <si>
    <t>Intrinsic Value per Share (€)</t>
  </si>
  <si>
    <t>MARGIN OF SAFETY</t>
  </si>
  <si>
    <t>Intrinsic Value (€)</t>
  </si>
  <si>
    <t>Market Price (€)</t>
  </si>
  <si>
    <t>CAPITAL STRUCTURE</t>
  </si>
  <si>
    <t>Total Debt (€M)</t>
  </si>
  <si>
    <t>Total Equity (€M)</t>
  </si>
  <si>
    <t>Debt Ratio %</t>
  </si>
  <si>
    <t>Equity Ratio %</t>
  </si>
  <si>
    <t>Debt-to-Equity %</t>
  </si>
  <si>
    <t>FINAL VERDICT</t>
  </si>
  <si>
    <t>DCF Intrinsic Value (€)</t>
  </si>
  <si>
    <t>DDM Value (€) from Tab 5</t>
  </si>
  <si>
    <t>P/E Value (€) from Tab 5</t>
  </si>
  <si>
    <t>Average Fair Value (€)</t>
  </si>
  <si>
    <t>Recommendation</t>
  </si>
  <si>
    <t>Price Target (€)</t>
  </si>
  <si>
    <t xml:space="preserve"> ANALYST NOTE:</t>
  </si>
  <si>
    <t xml:space="preserve"> - DCF uses 5-year FCF forecast grown at 8% then terminal growth of 3%</t>
  </si>
  <si>
    <t xml:space="preserve"> - Terminal growth of 3% = long run GDP growth — conservative assumption</t>
  </si>
  <si>
    <t xml:space="preserve"> - SAP is equity-heavy (95%+ equity financed) — very low financial risk</t>
  </si>
  <si>
    <t xml:space="preserve"> - Low debt ratio means SAP has capacity to borrow for future acquisitions</t>
  </si>
  <si>
    <t xml:space="preserve"> - Final recommendation based on average of 3 valuation methods</t>
  </si>
  <si>
    <t xml:space="preserve"> - Price target represents our estimate of fair value over 12-month 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</si>
</sst>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€-2]\ #,##0.00;[Red]\-[$€-2]\ #,##0.00"/>
    <numFmt numFmtId="165" formatCode="0.0%"/>
    <numFmt numFmtId="166" formatCode="_([$€-2]\ * #,##0.00_);_([$€-2]\ * \(#,##0.00\);_([$€-2]\ 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0" fillId="0" borderId="0" xfId="0" applyNumberFormat="1"/>
    <xf numFmtId="10" fontId="0" fillId="0" borderId="0" xfId="0" applyNumberFormat="1"/>
    <xf numFmtId="9" fontId="0" fillId="0" borderId="0" xfId="2" applyFont="1"/>
    <xf numFmtId="165" fontId="0" fillId="0" borderId="0" xfId="2" applyNumberFormat="1" applyFont="1"/>
    <xf numFmtId="166" fontId="0" fillId="0" borderId="0" xfId="0" applyNumberFormat="1"/>
    <xf numFmtId="166" fontId="0" fillId="0" borderId="0" xfId="1" applyNumberFormat="1" applyFont="1"/>
    <xf numFmtId="0" fontId="2" fillId="2" borderId="0" xfId="0" applyFont="1" applyFill="1"/>
    <xf numFmtId="0" fontId="0" fillId="2" borderId="0" xfId="0" applyFill="1"/>
    <xf numFmtId="3" fontId="0" fillId="0" borderId="0" xfId="0" applyNumberFormat="1"/>
    <xf numFmtId="10" fontId="0" fillId="0" borderId="0" xfId="2" applyNumberFormat="1" applyFont="1"/>
    <xf numFmtId="2" fontId="0" fillId="0" borderId="0" xfId="0" applyNumberFormat="1"/>
    <xf numFmtId="165" fontId="2" fillId="0" borderId="0" xfId="0" applyNumberFormat="1" applyFont="1" applyAlignment="1">
      <alignment horizontal="left"/>
    </xf>
    <xf numFmtId="165" fontId="2" fillId="0" borderId="0" xfId="0" applyNumberFormat="1" applyFont="1"/>
    <xf numFmtId="0" fontId="0" fillId="0" borderId="0" xfId="0" applyAlignment="1">
      <alignment horizontal="center"/>
    </xf>
    <xf numFmtId="1" fontId="2" fillId="0" borderId="0" xfId="0" applyNumberFormat="1" applyFont="1"/>
    <xf numFmtId="0" fontId="6" fillId="0" borderId="0" xfId="0" applyFont="1"/>
    <xf numFmtId="0" fontId="7" fillId="0" borderId="0" xfId="0" applyFont="1"/>
    <xf numFmtId="166" fontId="2" fillId="2" borderId="0" xfId="0" applyNumberFormat="1" applyFont="1" applyFill="1"/>
    <xf numFmtId="0" fontId="2" fillId="0" borderId="0" xfId="0" applyFont="1" applyAlignment="1">
      <alignment horizontal="center"/>
    </xf>
    <xf numFmtId="9" fontId="0" fillId="0" borderId="0" xfId="0" applyNumberFormat="1"/>
    <xf numFmtId="0" fontId="9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664104</xdr:colOff>
      <xdr:row>4</xdr:row>
      <xdr:rowOff>165364</xdr:rowOff>
    </xdr:from>
    <xdr:to>
      <xdr:col>23</xdr:col>
      <xdr:colOff>193622</xdr:colOff>
      <xdr:row>30</xdr:row>
      <xdr:rowOff>73924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7FDE6-AE33-6FD6-56D7-6C3E27FA7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7271" y="1012031"/>
          <a:ext cx="9477851" cy="486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215491</xdr:colOff>
      <xdr:row>2</xdr:row>
      <xdr:rowOff>51710</xdr:rowOff>
    </xdr:from>
    <xdr:to>
      <xdr:col>22</xdr:col>
      <xdr:colOff>154838</xdr:colOff>
      <xdr:row>23</xdr:row>
      <xdr:rowOff>43961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00AFB-BE97-74C4-4358-509CDB3BF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1683" y="491325"/>
          <a:ext cx="8555809" cy="3685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185160</xdr:colOff>
      <xdr:row>3</xdr:row>
      <xdr:rowOff>33268</xdr:rowOff>
    </xdr:from>
    <xdr:to>
      <xdr:col>14</xdr:col>
      <xdr:colOff>362291</xdr:colOff>
      <xdr:row>22</xdr:row>
      <xdr:rowOff>114332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DE58207-A6D2-18D2-6F05-979C9920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1760" y="655568"/>
          <a:ext cx="7282781" cy="3519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163087</xdr:colOff>
      <xdr:row>3</xdr:row>
      <xdr:rowOff>163927</xdr:rowOff>
    </xdr:from>
    <xdr:to>
      <xdr:col>14</xdr:col>
      <xdr:colOff>448236</xdr:colOff>
      <xdr:row>21</xdr:row>
      <xdr:rowOff>37198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F9D6F-37E5-D057-92BB-536DBD605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6616" y="791456"/>
          <a:ext cx="6411032" cy="310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27</xdr:row>
      <xdr:rowOff>160020</xdr:rowOff>
    </xdr:from>
    <xdr:to>
      <xdr:col>14</xdr:col>
      <xdr:colOff>335280</xdr:colOff>
      <xdr:row>44</xdr:row>
      <xdr:rowOff>152400</xdr:rowOff>
    </xdr:to>
    <xdr:pic>
      <xdr:nvPicPr>
        <xdr:cNvPr id="5364" name="Picture 244" descr="intrinsic value vs market price graph, AI generated">
          <a:extLst>
            <a:ext uri="{FF2B5EF4-FFF2-40B4-BE49-F238E27FC236}">
              <a16:creationId xmlns:a16="http://schemas.microsoft.com/office/drawing/2014/main" id="{2387F288-CAAB-B95F-91F5-A3742E36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9580" y="5181600"/>
          <a:ext cx="3878580" cy="3101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2</xdr:row>
      <xdr:rowOff>167640</xdr:rowOff>
    </xdr:from>
    <xdr:to>
      <xdr:col>14</xdr:col>
      <xdr:colOff>464820</xdr:colOff>
      <xdr:row>26</xdr:row>
      <xdr:rowOff>7620</xdr:rowOff>
    </xdr:to>
    <xdr:pic>
      <xdr:nvPicPr>
        <xdr:cNvPr id="5370" name="Picture 250">
          <a:extLst>
            <a:ext uri="{FF2B5EF4-FFF2-40B4-BE49-F238E27FC236}">
              <a16:creationId xmlns:a16="http://schemas.microsoft.com/office/drawing/2014/main" id="{9F9D6976-8D60-3DAD-14B2-38E829F9E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1980" y="617220"/>
          <a:ext cx="766572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3</xdr:row>
      <xdr:rowOff>95250</xdr:rowOff>
    </xdr:from>
    <xdr:to>
      <xdr:col>17</xdr:col>
      <xdr:colOff>492026</xdr:colOff>
      <xdr:row>29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E0671-EA48-43F1-8B2B-B0BD44267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42950"/>
          <a:ext cx="7940576" cy="493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24593</xdr:colOff>
      <xdr:row>19</xdr:row>
      <xdr:rowOff>130779</xdr:rowOff>
    </xdr:from>
    <xdr:to>
      <xdr:col>21</xdr:col>
      <xdr:colOff>201529</xdr:colOff>
      <xdr:row>42</xdr:row>
      <xdr:rowOff>13308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73AE66-193F-D99A-0FE1-07AE31E7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593" y="3754512"/>
          <a:ext cx="10269203" cy="4166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640992</xdr:colOff>
      <xdr:row>17</xdr:row>
      <xdr:rowOff>9620</xdr:rowOff>
    </xdr:from>
    <xdr:to>
      <xdr:col>23</xdr:col>
      <xdr:colOff>115743</xdr:colOff>
      <xdr:row>49</xdr:row>
      <xdr:rowOff>37974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0992A3-FE8B-8C0B-5A87-BA644E717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963" y="3057620"/>
          <a:ext cx="13234294" cy="5601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1658-8AFA-4872-B33A-CBB79F938005}">
  <dimension ref="A1:H41"/>
  <sheetViews>
    <sheetView zoomScale="62" zoomScaleNormal="67" workbookViewId="0">
      <selection activeCell="J34" sqref="J34"/>
    </sheetView>
  </sheetViews>
  <sheetFormatPr defaultRowHeight="14.4"/>
  <cols>
    <col min="1" max="1" width="18.109375" customWidth="1"/>
    <col min="4" max="7" width="12.33203125" bestFit="1" customWidth="1"/>
    <col min="8" max="8" width="10.6640625" customWidth="1"/>
  </cols>
  <sheetData>
    <row r="1" spans="1:7" ht="21">
      <c r="A1" s="2" t="s">
        <v>0</v>
      </c>
      <c r="F1" t="s">
        <v>1</v>
      </c>
    </row>
    <row r="2" spans="1:7">
      <c r="A2" s="4" t="s">
        <v>2</v>
      </c>
    </row>
    <row r="3" spans="1:7">
      <c r="A3" s="4" t="s">
        <v>3</v>
      </c>
    </row>
    <row r="4" spans="1:7">
      <c r="A4" s="4" t="s">
        <v>2</v>
      </c>
    </row>
    <row r="5" spans="1:7">
      <c r="A5" s="3"/>
    </row>
    <row r="6" spans="1:7">
      <c r="A6" s="5" t="s">
        <v>4</v>
      </c>
      <c r="B6" s="1"/>
      <c r="C6" s="1"/>
      <c r="D6" s="1">
        <v>2025</v>
      </c>
      <c r="E6" s="1">
        <v>2024</v>
      </c>
      <c r="F6" s="1">
        <v>2023</v>
      </c>
      <c r="G6" s="1">
        <v>2022</v>
      </c>
    </row>
    <row r="7" spans="1:7">
      <c r="A7" s="5" t="s">
        <v>5</v>
      </c>
      <c r="B7" s="1"/>
      <c r="D7" s="10">
        <v>36800</v>
      </c>
      <c r="E7" s="10">
        <v>34176</v>
      </c>
      <c r="F7" s="10">
        <v>31207</v>
      </c>
      <c r="G7" s="10">
        <v>29519</v>
      </c>
    </row>
    <row r="8" spans="1:7">
      <c r="A8" s="5" t="s">
        <v>6</v>
      </c>
      <c r="B8" s="1"/>
      <c r="D8" s="10">
        <v>26814</v>
      </c>
      <c r="E8" s="10">
        <v>24932</v>
      </c>
      <c r="F8" s="10">
        <v>22534</v>
      </c>
      <c r="G8" s="10">
        <v>21482</v>
      </c>
    </row>
    <row r="9" spans="1:7">
      <c r="A9" s="5" t="s">
        <v>7</v>
      </c>
      <c r="B9" s="1"/>
      <c r="D9" s="10">
        <v>7161</v>
      </c>
      <c r="E9" s="10">
        <v>3124</v>
      </c>
      <c r="F9" s="10">
        <v>6139</v>
      </c>
      <c r="G9" s="10">
        <v>2284</v>
      </c>
    </row>
    <row r="10" spans="1:7">
      <c r="A10" s="1" t="s">
        <v>8</v>
      </c>
      <c r="D10" s="10">
        <f>(D9-D18)</f>
        <v>-1995</v>
      </c>
      <c r="E10" s="10">
        <f>(E9-E18)</f>
        <v>-2083</v>
      </c>
      <c r="F10" s="10">
        <f>(F9-F18)</f>
        <v>-107</v>
      </c>
      <c r="G10" s="10">
        <f>(G9-G18)</f>
        <v>-3363</v>
      </c>
    </row>
    <row r="11" spans="1:7">
      <c r="D11" s="15">
        <f>(D18/D7)</f>
        <v>0.24880434782608696</v>
      </c>
      <c r="E11" s="15">
        <f>(E18/E7)</f>
        <v>0.15235838014981273</v>
      </c>
      <c r="F11" s="15">
        <f>(F18/F7)</f>
        <v>0.20014740282628898</v>
      </c>
      <c r="G11" s="15">
        <f>(G18/G7)</f>
        <v>0.19130051831024086</v>
      </c>
    </row>
    <row r="12" spans="1:7">
      <c r="A12" s="5" t="s">
        <v>9</v>
      </c>
      <c r="B12" s="1"/>
      <c r="C12" s="1"/>
      <c r="D12" s="11">
        <v>70362</v>
      </c>
      <c r="E12" s="11">
        <v>74237</v>
      </c>
      <c r="F12" s="11">
        <v>68331</v>
      </c>
      <c r="G12" s="11">
        <v>72159</v>
      </c>
    </row>
    <row r="13" spans="1:7">
      <c r="A13" s="5" t="s">
        <v>10</v>
      </c>
      <c r="B13" s="1"/>
      <c r="C13" s="1"/>
      <c r="D13" s="11">
        <v>7476</v>
      </c>
      <c r="E13" s="11">
        <v>10651</v>
      </c>
      <c r="F13" s="11">
        <v>8791</v>
      </c>
      <c r="G13" s="11">
        <v>13085</v>
      </c>
    </row>
    <row r="14" spans="1:7">
      <c r="A14" s="5" t="s">
        <v>11</v>
      </c>
      <c r="B14" s="1"/>
      <c r="C14" s="1"/>
      <c r="D14" s="11">
        <v>44586</v>
      </c>
      <c r="E14" s="11">
        <v>45438</v>
      </c>
      <c r="F14" s="11">
        <v>43157</v>
      </c>
      <c r="G14" s="11">
        <v>40186</v>
      </c>
    </row>
    <row r="15" spans="1:7">
      <c r="A15" s="3"/>
    </row>
    <row r="16" spans="1:7">
      <c r="A16" s="5" t="s">
        <v>12</v>
      </c>
      <c r="B16" s="1"/>
      <c r="C16" s="1"/>
      <c r="D16" s="1">
        <v>2025</v>
      </c>
      <c r="E16" s="1">
        <v>2024</v>
      </c>
      <c r="F16" s="20">
        <v>2023</v>
      </c>
      <c r="G16" s="20">
        <v>2022</v>
      </c>
    </row>
    <row r="17" spans="1:7">
      <c r="A17" s="5" t="s">
        <v>13</v>
      </c>
      <c r="B17" s="1"/>
      <c r="C17" s="1"/>
      <c r="D17" s="10">
        <v>8417</v>
      </c>
      <c r="E17" s="10">
        <v>4410</v>
      </c>
      <c r="F17" s="10">
        <v>5461</v>
      </c>
      <c r="G17" s="10">
        <v>4770</v>
      </c>
    </row>
    <row r="18" spans="1:7">
      <c r="A18" s="5" t="s">
        <v>14</v>
      </c>
      <c r="B18" s="1"/>
      <c r="C18" s="1"/>
      <c r="D18" s="10">
        <v>9156</v>
      </c>
      <c r="E18" s="10">
        <v>5207</v>
      </c>
      <c r="F18" s="10">
        <v>6246</v>
      </c>
      <c r="G18" s="10">
        <v>5647</v>
      </c>
    </row>
    <row r="19" spans="1:7">
      <c r="A19" s="3"/>
    </row>
    <row r="20" spans="1:7">
      <c r="A20" s="5" t="s">
        <v>15</v>
      </c>
      <c r="B20" s="1"/>
    </row>
    <row r="21" spans="1:7">
      <c r="A21" s="5" t="s">
        <v>16</v>
      </c>
      <c r="B21" s="1"/>
      <c r="C21" s="6">
        <v>147.02000000000001</v>
      </c>
    </row>
    <row r="22" spans="1:7">
      <c r="A22" s="5" t="s">
        <v>17</v>
      </c>
      <c r="B22" s="1"/>
      <c r="C22">
        <v>24.1</v>
      </c>
    </row>
    <row r="23" spans="1:7">
      <c r="A23" s="5" t="s">
        <v>18</v>
      </c>
      <c r="B23" s="1"/>
      <c r="C23" t="s">
        <v>19</v>
      </c>
    </row>
    <row r="24" spans="1:7">
      <c r="A24" s="5" t="s">
        <v>20</v>
      </c>
      <c r="B24" s="1"/>
      <c r="C24">
        <v>0.69199999999999995</v>
      </c>
    </row>
    <row r="25" spans="1:7">
      <c r="A25" s="5" t="s">
        <v>21</v>
      </c>
      <c r="B25" s="1"/>
      <c r="C25" s="7">
        <v>1.7500000000000002E-2</v>
      </c>
    </row>
    <row r="26" spans="1:7">
      <c r="A26" s="5" t="s">
        <v>22</v>
      </c>
      <c r="B26" s="1"/>
      <c r="C26" s="6">
        <v>273.55</v>
      </c>
    </row>
    <row r="27" spans="1:7">
      <c r="A27" s="5" t="s">
        <v>23</v>
      </c>
      <c r="B27" s="1"/>
      <c r="C27" s="6">
        <v>142.78</v>
      </c>
    </row>
    <row r="29" spans="1:7">
      <c r="A29" s="5" t="s">
        <v>24</v>
      </c>
    </row>
    <row r="30" spans="1:7">
      <c r="A30" s="5" t="s">
        <v>25</v>
      </c>
      <c r="D30" s="9">
        <f t="shared" ref="D30:F30" si="0">(D8/D7)</f>
        <v>0.72864130434782604</v>
      </c>
      <c r="E30" s="9">
        <f t="shared" si="0"/>
        <v>0.72951779026217234</v>
      </c>
      <c r="F30" s="9">
        <f t="shared" si="0"/>
        <v>0.72208158425994173</v>
      </c>
      <c r="G30" s="9">
        <f>(G8/G7)</f>
        <v>0.72773467935905689</v>
      </c>
    </row>
    <row r="31" spans="1:7">
      <c r="A31" s="5" t="s">
        <v>26</v>
      </c>
      <c r="D31" s="9">
        <f>(D9/D7)</f>
        <v>0.19459239130434783</v>
      </c>
      <c r="E31" s="9">
        <f>(E9/E7)</f>
        <v>9.1409176029962541E-2</v>
      </c>
      <c r="F31" s="9">
        <f>(F9/F7)</f>
        <v>0.19671868491043676</v>
      </c>
      <c r="G31" s="9">
        <f>(G9/G7)</f>
        <v>7.7373894779633454E-2</v>
      </c>
    </row>
    <row r="32" spans="1:7">
      <c r="A32" s="5" t="s">
        <v>27</v>
      </c>
      <c r="D32" s="9">
        <f>(D13/D14)</f>
        <v>0.16767595209258512</v>
      </c>
      <c r="E32" s="9">
        <f>(E13/E14)</f>
        <v>0.23440732426603283</v>
      </c>
      <c r="F32" s="9">
        <f>(F13/F14)</f>
        <v>0.20369812544894222</v>
      </c>
      <c r="G32" s="9">
        <f>(G13/G14)</f>
        <v>0.32561090927188574</v>
      </c>
    </row>
    <row r="33" spans="1:8">
      <c r="A33" s="5" t="s">
        <v>28</v>
      </c>
      <c r="D33" s="9">
        <f>(D9/D14)</f>
        <v>0.16061095411115597</v>
      </c>
      <c r="E33" s="9">
        <f>(E9/E14)</f>
        <v>6.8753026101500941E-2</v>
      </c>
      <c r="F33" s="9">
        <f>(F9/F14)</f>
        <v>0.14224807099659384</v>
      </c>
      <c r="G33" s="9">
        <f>(G9/G14)</f>
        <v>5.6835713930224456E-2</v>
      </c>
    </row>
    <row r="35" spans="1:8">
      <c r="A35" s="12" t="s">
        <v>29</v>
      </c>
      <c r="B35" s="13"/>
      <c r="C35" s="13"/>
      <c r="D35" s="13"/>
      <c r="E35" s="13"/>
      <c r="F35" s="13"/>
      <c r="G35" s="13"/>
      <c r="H35" s="13"/>
    </row>
    <row r="36" spans="1:8">
      <c r="A36" s="12" t="s">
        <v>30</v>
      </c>
      <c r="B36" s="13"/>
      <c r="C36" s="13"/>
      <c r="D36" s="13"/>
      <c r="E36" s="13"/>
      <c r="F36" s="13"/>
      <c r="G36" s="13"/>
      <c r="H36" s="13"/>
    </row>
    <row r="37" spans="1:8">
      <c r="A37" s="12" t="s">
        <v>31</v>
      </c>
      <c r="B37" s="13"/>
      <c r="C37" s="13"/>
      <c r="D37" s="13"/>
      <c r="E37" s="13"/>
      <c r="F37" s="13"/>
      <c r="G37" s="13"/>
      <c r="H37" s="13"/>
    </row>
    <row r="38" spans="1:8">
      <c r="A38" s="12" t="s">
        <v>32</v>
      </c>
      <c r="B38" s="13"/>
      <c r="C38" s="13"/>
      <c r="D38" s="13"/>
      <c r="E38" s="13"/>
      <c r="F38" s="13"/>
      <c r="G38" s="13"/>
      <c r="H38" s="13"/>
    </row>
    <row r="39" spans="1:8">
      <c r="A39" s="12" t="s">
        <v>33</v>
      </c>
      <c r="B39" s="13"/>
      <c r="C39" s="13"/>
      <c r="D39" s="13"/>
      <c r="E39" s="13"/>
      <c r="F39" s="13"/>
      <c r="G39" s="13"/>
      <c r="H39" s="13"/>
    </row>
    <row r="40" spans="1:8">
      <c r="A40" s="12" t="s">
        <v>34</v>
      </c>
      <c r="B40" s="13"/>
      <c r="C40" s="13"/>
      <c r="D40" s="13"/>
      <c r="E40" s="13"/>
      <c r="F40" s="13"/>
      <c r="G40" s="13"/>
      <c r="H40" s="13"/>
    </row>
    <row r="41" spans="1:8">
      <c r="A41" s="12" t="s">
        <v>35</v>
      </c>
      <c r="B41" s="13"/>
      <c r="C41" s="13"/>
      <c r="D41" s="13"/>
      <c r="E41" s="13"/>
      <c r="F41" s="13"/>
      <c r="G41" s="13"/>
      <c r="H41" s="1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6158-D88B-4CAB-B30D-512124354044}">
  <dimension ref="A1:H31"/>
  <sheetViews>
    <sheetView zoomScale="64" zoomScaleNormal="52" workbookViewId="0">
      <selection activeCell="D34" sqref="D34"/>
    </sheetView>
  </sheetViews>
  <sheetFormatPr defaultRowHeight="14.4"/>
  <cols>
    <col min="1" max="1" width="20.44140625" customWidth="1"/>
    <col min="2" max="2" width="11.33203125" customWidth="1"/>
  </cols>
  <sheetData>
    <row r="1" spans="1:8" ht="21">
      <c r="A1" s="2" t="s">
        <v>36</v>
      </c>
      <c r="F1" t="s">
        <v>37</v>
      </c>
    </row>
    <row r="3" spans="1:8">
      <c r="A3" s="1" t="s">
        <v>38</v>
      </c>
    </row>
    <row r="4" spans="1:8">
      <c r="B4" s="1" t="s">
        <v>39</v>
      </c>
      <c r="C4" s="1" t="s">
        <v>40</v>
      </c>
      <c r="D4" s="1" t="s">
        <v>41</v>
      </c>
      <c r="E4" s="1" t="s">
        <v>42</v>
      </c>
    </row>
    <row r="5" spans="1:8">
      <c r="A5" s="1"/>
      <c r="B5" s="1"/>
    </row>
    <row r="6" spans="1:8">
      <c r="A6" s="1" t="s">
        <v>43</v>
      </c>
      <c r="B6" s="1"/>
      <c r="C6" s="8">
        <v>0.08</v>
      </c>
      <c r="D6" s="8">
        <v>0.08</v>
      </c>
      <c r="E6" s="8">
        <v>0.08</v>
      </c>
    </row>
    <row r="7" spans="1:8">
      <c r="A7" s="1" t="s">
        <v>44</v>
      </c>
      <c r="B7" s="1"/>
      <c r="C7" s="9">
        <v>0.72899999999999998</v>
      </c>
      <c r="D7" s="9">
        <v>0.72899999999999998</v>
      </c>
      <c r="E7" s="9">
        <v>0.72899999999999998</v>
      </c>
      <c r="F7" s="9"/>
    </row>
    <row r="8" spans="1:8">
      <c r="A8" s="1" t="s">
        <v>45</v>
      </c>
      <c r="B8" s="1"/>
      <c r="C8" s="9">
        <v>0.19500000000000001</v>
      </c>
      <c r="D8" s="9">
        <v>0.19500000000000001</v>
      </c>
      <c r="E8" s="9">
        <v>0.19500000000000001</v>
      </c>
      <c r="F8" s="9"/>
    </row>
    <row r="9" spans="1:8">
      <c r="A9" s="1" t="s">
        <v>46</v>
      </c>
      <c r="B9" s="1"/>
      <c r="C9" s="9">
        <v>2.5000000000000001E-2</v>
      </c>
      <c r="D9" s="9">
        <v>2.5000000000000001E-2</v>
      </c>
      <c r="E9" s="9">
        <v>2.5000000000000001E-2</v>
      </c>
    </row>
    <row r="11" spans="1:8">
      <c r="A11" s="1" t="s">
        <v>47</v>
      </c>
    </row>
    <row r="12" spans="1:8">
      <c r="A12" s="1" t="s">
        <v>48</v>
      </c>
      <c r="B12" s="14">
        <v>36800</v>
      </c>
      <c r="C12" s="14">
        <f>B12*(1+C6)</f>
        <v>39744</v>
      </c>
      <c r="D12" s="14">
        <f t="shared" ref="D12:E12" si="0">C12*(1+D6)</f>
        <v>42923.520000000004</v>
      </c>
      <c r="E12" s="14">
        <f t="shared" si="0"/>
        <v>46357.401600000005</v>
      </c>
    </row>
    <row r="13" spans="1:8">
      <c r="A13" s="1" t="s">
        <v>49</v>
      </c>
      <c r="B13" s="14">
        <v>26814</v>
      </c>
      <c r="C13" s="14">
        <f>(C12*C7)</f>
        <v>28973.376</v>
      </c>
      <c r="D13" s="14">
        <f t="shared" ref="D13:E13" si="1">(D12*D7)</f>
        <v>31291.246080000001</v>
      </c>
      <c r="E13" s="14">
        <f t="shared" si="1"/>
        <v>33794.545766400006</v>
      </c>
    </row>
    <row r="14" spans="1:8">
      <c r="A14" s="1" t="s">
        <v>50</v>
      </c>
      <c r="B14" s="14">
        <v>7161</v>
      </c>
      <c r="C14" s="14">
        <f>(C12*C8)</f>
        <v>7750.08</v>
      </c>
      <c r="D14" s="14">
        <f t="shared" ref="D14:E14" si="2">(D12*D8)</f>
        <v>8370.086400000002</v>
      </c>
      <c r="E14" s="14">
        <f t="shared" si="2"/>
        <v>9039.6933120000012</v>
      </c>
    </row>
    <row r="15" spans="1:8">
      <c r="A15" s="1" t="s">
        <v>51</v>
      </c>
      <c r="B15" s="14">
        <v>9156</v>
      </c>
      <c r="C15" s="14">
        <f>(C12*24.88%)</f>
        <v>9888.3071999999993</v>
      </c>
      <c r="D15" s="14">
        <f>(D12*24.88%)</f>
        <v>10679.371776</v>
      </c>
      <c r="E15" s="14">
        <f>(E12*24.88%)</f>
        <v>11533.721518080001</v>
      </c>
      <c r="H15" s="7"/>
    </row>
    <row r="16" spans="1:8">
      <c r="A16" s="1" t="s">
        <v>52</v>
      </c>
      <c r="B16" s="14">
        <v>920</v>
      </c>
      <c r="C16" s="14">
        <f>(C12*C9)</f>
        <v>993.6</v>
      </c>
      <c r="D16" s="14">
        <f>(D12*D9)</f>
        <v>1073.0880000000002</v>
      </c>
      <c r="E16" s="14">
        <f>(E12*E9)</f>
        <v>1158.9350400000001</v>
      </c>
    </row>
    <row r="17" spans="1:7">
      <c r="A17" s="1" t="s">
        <v>53</v>
      </c>
      <c r="B17" s="14">
        <v>8417</v>
      </c>
      <c r="C17" s="14">
        <f>(C15-C16)</f>
        <v>8894.7071999999989</v>
      </c>
      <c r="D17" s="14">
        <f t="shared" ref="D17:E17" si="3">(D15-D16)</f>
        <v>9606.2837760000002</v>
      </c>
      <c r="E17" s="14">
        <f t="shared" si="3"/>
        <v>10374.786478080001</v>
      </c>
    </row>
    <row r="19" spans="1:7">
      <c r="A19" s="1" t="s">
        <v>54</v>
      </c>
    </row>
    <row r="20" spans="1:7">
      <c r="B20" s="1" t="s">
        <v>39</v>
      </c>
      <c r="C20" s="1" t="s">
        <v>40</v>
      </c>
      <c r="D20" s="1" t="s">
        <v>41</v>
      </c>
      <c r="E20" s="1" t="s">
        <v>42</v>
      </c>
    </row>
    <row r="21" spans="1:7">
      <c r="A21" s="1" t="s">
        <v>43</v>
      </c>
      <c r="C21" s="15">
        <f>(C12/B12-1)</f>
        <v>8.0000000000000071E-2</v>
      </c>
      <c r="D21" s="15">
        <f>(D12/C12-1)</f>
        <v>8.0000000000000071E-2</v>
      </c>
      <c r="E21" s="15">
        <f>(E12/D12-1)</f>
        <v>8.0000000000000071E-2</v>
      </c>
    </row>
    <row r="22" spans="1:7">
      <c r="A22" s="1" t="s">
        <v>55</v>
      </c>
      <c r="C22" s="15">
        <f>(C14/B14-1)</f>
        <v>8.2262253875157176E-2</v>
      </c>
      <c r="D22" s="15">
        <f>(D14/C14-1)</f>
        <v>8.0000000000000293E-2</v>
      </c>
      <c r="E22" s="15">
        <f>(E14/D14-1)</f>
        <v>7.9999999999999849E-2</v>
      </c>
    </row>
    <row r="24" spans="1:7">
      <c r="A24" s="12" t="s">
        <v>29</v>
      </c>
      <c r="B24" s="13"/>
      <c r="C24" s="13"/>
      <c r="D24" s="13"/>
      <c r="E24" s="13"/>
      <c r="F24" s="13"/>
      <c r="G24" s="13"/>
    </row>
    <row r="25" spans="1:7">
      <c r="A25" s="12" t="s">
        <v>56</v>
      </c>
      <c r="B25" s="13"/>
      <c r="C25" s="13"/>
      <c r="D25" s="13"/>
      <c r="E25" s="13"/>
      <c r="F25" s="13"/>
      <c r="G25" s="13"/>
    </row>
    <row r="26" spans="1:7">
      <c r="A26" s="12" t="s">
        <v>57</v>
      </c>
      <c r="B26" s="13"/>
      <c r="C26" s="13"/>
      <c r="D26" s="13"/>
      <c r="E26" s="13"/>
      <c r="F26" s="13"/>
      <c r="G26" s="13"/>
    </row>
    <row r="27" spans="1:7">
      <c r="A27" s="12" t="s">
        <v>58</v>
      </c>
      <c r="B27" s="13"/>
      <c r="C27" s="13"/>
      <c r="D27" s="13"/>
      <c r="E27" s="13"/>
      <c r="F27" s="13"/>
      <c r="G27" s="13"/>
    </row>
    <row r="28" spans="1:7">
      <c r="A28" s="12" t="s">
        <v>59</v>
      </c>
      <c r="B28" s="13"/>
      <c r="C28" s="13"/>
      <c r="D28" s="13"/>
      <c r="E28" s="13"/>
      <c r="F28" s="13"/>
      <c r="G28" s="13"/>
    </row>
    <row r="29" spans="1:7">
      <c r="A29" s="12" t="s">
        <v>60</v>
      </c>
      <c r="B29" s="13"/>
      <c r="C29" s="13"/>
      <c r="D29" s="13"/>
      <c r="E29" s="13"/>
      <c r="F29" s="13"/>
      <c r="G29" s="13"/>
    </row>
    <row r="30" spans="1:7">
      <c r="A30" s="12" t="s">
        <v>61</v>
      </c>
      <c r="B30" s="13"/>
      <c r="C30" s="13"/>
      <c r="D30" s="13"/>
      <c r="E30" s="13"/>
      <c r="F30" s="13"/>
      <c r="G30" s="13"/>
    </row>
    <row r="31" spans="1:7">
      <c r="A31" s="12" t="s">
        <v>62</v>
      </c>
      <c r="B31" s="13"/>
      <c r="C31" s="13"/>
      <c r="D31" s="13"/>
      <c r="E31" s="13"/>
      <c r="F31" s="13"/>
      <c r="G31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D644-4502-4365-993C-4429C5692BB5}">
  <dimension ref="A1:F32"/>
  <sheetViews>
    <sheetView topLeftCell="A8" zoomScale="60" zoomScaleNormal="204" workbookViewId="0">
      <selection activeCell="A32" sqref="A32:F32"/>
    </sheetView>
  </sheetViews>
  <sheetFormatPr defaultRowHeight="14.4"/>
  <cols>
    <col min="1" max="1" width="23.33203125" customWidth="1"/>
    <col min="2" max="2" width="16.5546875" customWidth="1"/>
    <col min="3" max="3" width="17.6640625" customWidth="1"/>
    <col min="4" max="4" width="8.88671875" customWidth="1"/>
    <col min="5" max="5" width="24.33203125" customWidth="1"/>
  </cols>
  <sheetData>
    <row r="1" spans="1:4" ht="21">
      <c r="A1" s="2" t="s">
        <v>63</v>
      </c>
      <c r="D1" t="s">
        <v>64</v>
      </c>
    </row>
    <row r="4" spans="1:4">
      <c r="A4" s="1" t="s">
        <v>65</v>
      </c>
    </row>
    <row r="5" spans="1:4">
      <c r="A5" t="s">
        <v>66</v>
      </c>
      <c r="B5" s="10">
        <v>10000</v>
      </c>
    </row>
    <row r="6" spans="1:4">
      <c r="A6" t="s">
        <v>67</v>
      </c>
      <c r="B6" s="9">
        <v>0.12</v>
      </c>
    </row>
    <row r="7" spans="1:4">
      <c r="A7" t="s">
        <v>68</v>
      </c>
      <c r="B7" s="9">
        <v>2.5000000000000001E-2</v>
      </c>
    </row>
    <row r="8" spans="1:4">
      <c r="A8" t="s">
        <v>69</v>
      </c>
      <c r="B8">
        <v>10</v>
      </c>
    </row>
    <row r="10" spans="1:4">
      <c r="A10" s="1" t="s">
        <v>70</v>
      </c>
    </row>
    <row r="11" spans="1:4">
      <c r="B11" s="1" t="s">
        <v>71</v>
      </c>
      <c r="C11" s="1" t="s">
        <v>72</v>
      </c>
    </row>
    <row r="12" spans="1:4">
      <c r="A12" s="1" t="s">
        <v>73</v>
      </c>
      <c r="B12" s="10">
        <f>B5*(1+B6)^B8</f>
        <v>31058.482083442112</v>
      </c>
      <c r="C12" s="10">
        <f>B5*(1+B7)^B8</f>
        <v>12800.845441963571</v>
      </c>
    </row>
    <row r="13" spans="1:4">
      <c r="A13" s="1" t="s">
        <v>74</v>
      </c>
      <c r="B13" s="10">
        <f>B5*(1+B7)^B8</f>
        <v>12800.845441963571</v>
      </c>
      <c r="C13" s="10">
        <f>C12-B5</f>
        <v>2800.8454419635709</v>
      </c>
    </row>
    <row r="14" spans="1:4">
      <c r="A14" s="1" t="s">
        <v>75</v>
      </c>
      <c r="B14" s="16">
        <f>B12/B5</f>
        <v>3.1058482083442112</v>
      </c>
      <c r="C14" s="16">
        <f>C12/B5</f>
        <v>1.2800845441963571</v>
      </c>
    </row>
    <row r="16" spans="1:4">
      <c r="A16" s="1" t="s">
        <v>76</v>
      </c>
    </row>
    <row r="17" spans="1:6">
      <c r="A17" s="1" t="s">
        <v>77</v>
      </c>
      <c r="B17" s="10">
        <f>2.6</f>
        <v>2.6</v>
      </c>
      <c r="D17" s="6"/>
    </row>
    <row r="18" spans="1:6">
      <c r="A18" s="1" t="s">
        <v>78</v>
      </c>
      <c r="B18" s="9">
        <f>B6</f>
        <v>0.12</v>
      </c>
    </row>
    <row r="19" spans="1:6">
      <c r="A19" s="1" t="s">
        <v>79</v>
      </c>
      <c r="B19" s="10">
        <f>B17/(1+B18)</f>
        <v>2.3214285714285712</v>
      </c>
    </row>
    <row r="21" spans="1:6">
      <c r="A21" s="1" t="s">
        <v>80</v>
      </c>
    </row>
    <row r="22" spans="1:6">
      <c r="A22" s="1" t="s">
        <v>81</v>
      </c>
      <c r="B22" s="10">
        <f>B17</f>
        <v>2.6</v>
      </c>
    </row>
    <row r="23" spans="1:6">
      <c r="A23" s="1" t="s">
        <v>69</v>
      </c>
      <c r="B23">
        <v>10</v>
      </c>
    </row>
    <row r="24" spans="1:6">
      <c r="A24" s="1" t="s">
        <v>78</v>
      </c>
      <c r="B24" s="9">
        <f>B6</f>
        <v>0.12</v>
      </c>
    </row>
    <row r="25" spans="1:6">
      <c r="A25" s="1" t="s">
        <v>82</v>
      </c>
      <c r="B25" s="10">
        <f>B22*((1-(1+B24)^-B23)/B24)</f>
        <v>14.690579873868254</v>
      </c>
    </row>
    <row r="27" spans="1:6">
      <c r="A27" s="12" t="s">
        <v>29</v>
      </c>
      <c r="B27" s="12"/>
      <c r="C27" s="12"/>
      <c r="D27" s="13"/>
      <c r="E27" s="13"/>
      <c r="F27" s="13"/>
    </row>
    <row r="28" spans="1:6">
      <c r="A28" s="12" t="s">
        <v>83</v>
      </c>
      <c r="B28" s="12"/>
      <c r="C28" s="12"/>
      <c r="D28" s="13"/>
      <c r="E28" s="13"/>
      <c r="F28" s="13"/>
    </row>
    <row r="29" spans="1:6">
      <c r="A29" s="12" t="s">
        <v>84</v>
      </c>
      <c r="B29" s="12"/>
      <c r="C29" s="12"/>
      <c r="D29" s="13"/>
      <c r="E29" s="13"/>
      <c r="F29" s="13"/>
    </row>
    <row r="30" spans="1:6">
      <c r="A30" s="12" t="s">
        <v>85</v>
      </c>
      <c r="B30" s="12"/>
      <c r="C30" s="12"/>
      <c r="D30" s="13"/>
      <c r="E30" s="13"/>
      <c r="F30" s="13"/>
    </row>
    <row r="31" spans="1:6">
      <c r="A31" s="12" t="s">
        <v>86</v>
      </c>
      <c r="B31" s="12"/>
      <c r="C31" s="12"/>
      <c r="D31" s="13"/>
      <c r="E31" s="13"/>
      <c r="F31" s="13"/>
    </row>
    <row r="32" spans="1:6">
      <c r="A32" s="1"/>
      <c r="B32" s="1"/>
      <c r="C32" s="1"/>
      <c r="D32" s="1"/>
      <c r="E32" s="1"/>
      <c r="F32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C335-4FDE-413D-8701-C90B9A467F62}">
  <dimension ref="A1:F32"/>
  <sheetViews>
    <sheetView topLeftCell="A2" zoomScale="88" zoomScaleNormal="85" workbookViewId="0">
      <selection activeCell="H30" sqref="H30"/>
    </sheetView>
  </sheetViews>
  <sheetFormatPr defaultRowHeight="14.4"/>
  <cols>
    <col min="1" max="1" width="22.5546875" customWidth="1"/>
    <col min="2" max="2" width="20.44140625" customWidth="1"/>
  </cols>
  <sheetData>
    <row r="1" spans="1:5" ht="21">
      <c r="A1" s="2" t="s">
        <v>87</v>
      </c>
      <c r="E1" t="s">
        <v>88</v>
      </c>
    </row>
    <row r="4" spans="1:5">
      <c r="A4" s="1" t="s">
        <v>89</v>
      </c>
    </row>
    <row r="5" spans="1:5">
      <c r="A5" s="1" t="s">
        <v>90</v>
      </c>
      <c r="B5" s="10">
        <v>1000</v>
      </c>
    </row>
    <row r="6" spans="1:5">
      <c r="A6" s="1" t="s">
        <v>91</v>
      </c>
      <c r="B6" s="15">
        <v>0.03</v>
      </c>
    </row>
    <row r="7" spans="1:5">
      <c r="A7" s="1" t="s">
        <v>92</v>
      </c>
      <c r="B7">
        <f>B5*B6</f>
        <v>30</v>
      </c>
    </row>
    <row r="8" spans="1:5">
      <c r="A8" s="1" t="s">
        <v>93</v>
      </c>
      <c r="B8">
        <v>5</v>
      </c>
    </row>
    <row r="9" spans="1:5">
      <c r="A9" s="1" t="s">
        <v>94</v>
      </c>
      <c r="B9" s="15">
        <v>3.5000000000000003E-2</v>
      </c>
    </row>
    <row r="11" spans="1:5">
      <c r="A11" s="1" t="s">
        <v>95</v>
      </c>
    </row>
    <row r="12" spans="1:5">
      <c r="A12" s="1" t="s">
        <v>96</v>
      </c>
      <c r="B12" s="10">
        <f>PV(B9,B8,-B7,-B5)</f>
        <v>977.42473812264632</v>
      </c>
    </row>
    <row r="13" spans="1:5">
      <c r="A13" s="1" t="s">
        <v>97</v>
      </c>
      <c r="B13" s="10">
        <f>B12-B5</f>
        <v>-22.575261877353682</v>
      </c>
    </row>
    <row r="14" spans="1:5">
      <c r="A14" s="1" t="s">
        <v>98</v>
      </c>
      <c r="B14" s="19" t="str">
        <f>IF(B13&gt;0,"PREMIUM","DISCOUNT")</f>
        <v>DISCOUNT</v>
      </c>
    </row>
    <row r="16" spans="1:5">
      <c r="A16" s="1" t="s">
        <v>99</v>
      </c>
    </row>
    <row r="17" spans="1:6">
      <c r="A17" s="1" t="s">
        <v>100</v>
      </c>
      <c r="B17" s="1" t="s">
        <v>101</v>
      </c>
    </row>
    <row r="18" spans="1:6">
      <c r="A18" s="17">
        <v>0.01</v>
      </c>
      <c r="B18" s="10">
        <f>PV(A18, $B$8, -$B$7, -$B$5)</f>
        <v>1097.0686247865024</v>
      </c>
    </row>
    <row r="19" spans="1:6">
      <c r="A19" s="17">
        <v>0.02</v>
      </c>
      <c r="B19" s="10">
        <f t="shared" ref="B19:B24" si="0">PV(A19, $B$8, -$B$7, -$B$5)</f>
        <v>1047.1345950850421</v>
      </c>
    </row>
    <row r="20" spans="1:6">
      <c r="A20" s="17">
        <v>0.03</v>
      </c>
      <c r="B20" s="10">
        <f>PV(A20, $B$8, -$B$7, -$B$5)</f>
        <v>1000.0000000000001</v>
      </c>
      <c r="C20" s="1" t="s">
        <v>102</v>
      </c>
    </row>
    <row r="21" spans="1:6">
      <c r="A21" s="17">
        <v>3.5000000000000003E-2</v>
      </c>
      <c r="B21" s="10">
        <f t="shared" si="0"/>
        <v>977.42473812264632</v>
      </c>
      <c r="C21" s="1" t="s">
        <v>103</v>
      </c>
    </row>
    <row r="22" spans="1:6">
      <c r="A22" s="17">
        <v>0.04</v>
      </c>
      <c r="B22" s="10">
        <f t="shared" si="0"/>
        <v>955.48177668983794</v>
      </c>
    </row>
    <row r="23" spans="1:6">
      <c r="A23" s="17">
        <v>0.05</v>
      </c>
      <c r="B23" s="10">
        <f t="shared" si="0"/>
        <v>913.41046658738355</v>
      </c>
    </row>
    <row r="24" spans="1:6">
      <c r="A24" s="17">
        <v>0.06</v>
      </c>
      <c r="B24" s="10">
        <f t="shared" si="0"/>
        <v>873.62908643302853</v>
      </c>
    </row>
    <row r="25" spans="1:6">
      <c r="A25" s="18"/>
    </row>
    <row r="26" spans="1:6">
      <c r="A26" s="12" t="s">
        <v>29</v>
      </c>
      <c r="B26" s="12"/>
      <c r="C26" s="12"/>
      <c r="D26" s="12"/>
      <c r="E26" s="12"/>
      <c r="F26" s="12"/>
    </row>
    <row r="27" spans="1:6">
      <c r="A27" s="12" t="s">
        <v>104</v>
      </c>
      <c r="B27" s="12"/>
      <c r="C27" s="12"/>
      <c r="D27" s="12"/>
      <c r="E27" s="12"/>
      <c r="F27" s="12"/>
    </row>
    <row r="28" spans="1:6">
      <c r="A28" s="12" t="s">
        <v>105</v>
      </c>
      <c r="B28" s="12"/>
      <c r="C28" s="12"/>
      <c r="D28" s="12"/>
      <c r="E28" s="12"/>
      <c r="F28" s="12"/>
    </row>
    <row r="29" spans="1:6">
      <c r="A29" s="12" t="s">
        <v>106</v>
      </c>
      <c r="B29" s="12"/>
      <c r="C29" s="12"/>
      <c r="D29" s="12"/>
      <c r="E29" s="12"/>
      <c r="F29" s="12"/>
    </row>
    <row r="30" spans="1:6">
      <c r="A30" s="12" t="s">
        <v>107</v>
      </c>
      <c r="B30" s="12"/>
      <c r="C30" s="12"/>
      <c r="D30" s="12"/>
      <c r="E30" s="12"/>
      <c r="F30" s="12"/>
    </row>
    <row r="31" spans="1:6">
      <c r="A31" s="12" t="s">
        <v>108</v>
      </c>
      <c r="B31" s="12"/>
      <c r="C31" s="12"/>
      <c r="D31" s="12"/>
      <c r="E31" s="12"/>
      <c r="F31" s="12"/>
    </row>
    <row r="32" spans="1:6">
      <c r="A32" s="12" t="s">
        <v>109</v>
      </c>
      <c r="B32" s="12"/>
      <c r="C32" s="12"/>
      <c r="D32" s="12"/>
      <c r="E32" s="12"/>
      <c r="F32" s="12"/>
    </row>
  </sheetData>
  <conditionalFormatting sqref="A14">
    <cfRule type="containsText" dxfId="16" priority="3" operator="containsText" text="Discount">
      <formula>NOT(ISERROR(SEARCH("Discount",A14)))</formula>
    </cfRule>
    <cfRule type="containsText" dxfId="15" priority="4" operator="containsText" text="Premium">
      <formula>NOT(ISERROR(SEARCH("Premium",A14)))</formula>
    </cfRule>
  </conditionalFormatting>
  <conditionalFormatting sqref="B14">
    <cfRule type="containsText" dxfId="14" priority="1" operator="containsText" text="PREMIUM">
      <formula>NOT(ISERROR(SEARCH("PREMIUM",B14)))</formula>
    </cfRule>
    <cfRule type="containsText" dxfId="13" priority="2" operator="containsText" text="DISCOUNT">
      <formula>NOT(ISERROR(SEARCH("DISCOUNT",B14)))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38C0-C8CF-4513-885C-5F96F363A1D3}">
  <dimension ref="A1:D42"/>
  <sheetViews>
    <sheetView zoomScale="59" workbookViewId="0">
      <selection activeCell="B8" sqref="B8"/>
    </sheetView>
  </sheetViews>
  <sheetFormatPr defaultRowHeight="14.4"/>
  <cols>
    <col min="1" max="1" width="44.44140625" customWidth="1"/>
    <col min="2" max="3" width="13.5546875" customWidth="1"/>
  </cols>
  <sheetData>
    <row r="1" spans="1:3" ht="21">
      <c r="A1" s="2" t="s">
        <v>110</v>
      </c>
      <c r="C1" t="s">
        <v>111</v>
      </c>
    </row>
    <row r="4" spans="1:3">
      <c r="A4" s="1" t="s">
        <v>112</v>
      </c>
      <c r="B4" s="1"/>
    </row>
    <row r="5" spans="1:3">
      <c r="A5" s="1" t="s">
        <v>113</v>
      </c>
      <c r="B5" s="10">
        <v>2.6</v>
      </c>
    </row>
    <row r="6" spans="1:3">
      <c r="A6" s="1" t="s">
        <v>114</v>
      </c>
      <c r="B6" s="9">
        <v>0.06</v>
      </c>
    </row>
    <row r="7" spans="1:3">
      <c r="A7" s="1" t="s">
        <v>78</v>
      </c>
      <c r="B7" s="9">
        <v>7.2999999999999995E-2</v>
      </c>
    </row>
    <row r="8" spans="1:3">
      <c r="A8" s="1" t="s">
        <v>115</v>
      </c>
      <c r="B8" s="10">
        <f>(B5*(1+B6))/(B7-B6)</f>
        <v>212.00000000000006</v>
      </c>
    </row>
    <row r="9" spans="1:3">
      <c r="A9" s="1" t="s">
        <v>116</v>
      </c>
      <c r="B9" s="10">
        <v>147.02000000000001</v>
      </c>
    </row>
    <row r="10" spans="1:3">
      <c r="A10" s="1" t="s">
        <v>117</v>
      </c>
      <c r="B10" t="str">
        <f>IF(B9&gt;B8,"OVERVALUED","UNDERVALUED")</f>
        <v>UNDERVALUED</v>
      </c>
    </row>
    <row r="11" spans="1:3">
      <c r="A11" s="1" t="s">
        <v>118</v>
      </c>
      <c r="B11" s="9">
        <f>(B8-B9)/B9</f>
        <v>0.44198068290028597</v>
      </c>
    </row>
    <row r="13" spans="1:3">
      <c r="A13" s="1" t="s">
        <v>119</v>
      </c>
    </row>
    <row r="14" spans="1:3">
      <c r="A14" s="1" t="s">
        <v>120</v>
      </c>
      <c r="B14" s="10">
        <v>6.12</v>
      </c>
    </row>
    <row r="15" spans="1:3">
      <c r="A15" s="1" t="s">
        <v>121</v>
      </c>
      <c r="B15" s="10">
        <v>28</v>
      </c>
    </row>
    <row r="16" spans="1:3">
      <c r="A16" s="1" t="s">
        <v>122</v>
      </c>
      <c r="B16" s="10">
        <v>24.1</v>
      </c>
    </row>
    <row r="17" spans="1:4">
      <c r="A17" s="1" t="s">
        <v>123</v>
      </c>
      <c r="B17" s="10">
        <f>B14*B15</f>
        <v>171.36</v>
      </c>
    </row>
    <row r="18" spans="1:4">
      <c r="A18" s="1" t="s">
        <v>116</v>
      </c>
      <c r="B18" s="10">
        <v>147.02000000000001</v>
      </c>
    </row>
    <row r="19" spans="1:4">
      <c r="A19" s="1" t="s">
        <v>117</v>
      </c>
      <c r="B19" t="str">
        <f>IF(B18&gt;B17,"OVERVALUED","UNDERVALUED")</f>
        <v>UNDERVALUED</v>
      </c>
    </row>
    <row r="20" spans="1:4">
      <c r="A20" s="1" t="s">
        <v>124</v>
      </c>
      <c r="B20" s="9">
        <f>(B17-B18)/B18</f>
        <v>0.16555570670657055</v>
      </c>
    </row>
    <row r="22" spans="1:4">
      <c r="A22" s="1" t="s">
        <v>125</v>
      </c>
    </row>
    <row r="23" spans="1:4">
      <c r="A23" s="1" t="s">
        <v>126</v>
      </c>
      <c r="B23" s="10">
        <v>38.1</v>
      </c>
    </row>
    <row r="24" spans="1:4">
      <c r="A24" s="1" t="s">
        <v>127</v>
      </c>
      <c r="B24" s="10">
        <v>3.5</v>
      </c>
    </row>
    <row r="25" spans="1:4">
      <c r="A25" s="1" t="s">
        <v>128</v>
      </c>
      <c r="B25" s="10">
        <f>B23*B24</f>
        <v>133.35</v>
      </c>
    </row>
    <row r="26" spans="1:4">
      <c r="A26" s="1" t="s">
        <v>116</v>
      </c>
      <c r="B26" s="10">
        <v>147.02000000000001</v>
      </c>
    </row>
    <row r="27" spans="1:4">
      <c r="A27" s="1" t="s">
        <v>98</v>
      </c>
      <c r="B27" t="str">
        <f>IF(B26&gt;B25,"OVERVALUED","UNDERVALUED")</f>
        <v>OVERVALUED</v>
      </c>
    </row>
    <row r="29" spans="1:4">
      <c r="A29" s="1" t="s">
        <v>129</v>
      </c>
    </row>
    <row r="30" spans="1:4">
      <c r="A30" s="1"/>
      <c r="B30" s="1" t="s">
        <v>130</v>
      </c>
      <c r="C30" s="1" t="s">
        <v>131</v>
      </c>
      <c r="D30" s="1" t="s">
        <v>132</v>
      </c>
    </row>
    <row r="31" spans="1:4">
      <c r="A31" s="1" t="s">
        <v>133</v>
      </c>
      <c r="B31" s="10">
        <f>B8</f>
        <v>212.00000000000006</v>
      </c>
      <c r="C31" s="10">
        <f>B9</f>
        <v>147.02000000000001</v>
      </c>
      <c r="D31" s="22" t="str">
        <f>B10</f>
        <v>UNDERVALUED</v>
      </c>
    </row>
    <row r="32" spans="1:4">
      <c r="A32" s="1" t="s">
        <v>134</v>
      </c>
      <c r="B32" s="10">
        <f>B17</f>
        <v>171.36</v>
      </c>
      <c r="C32" s="10">
        <f>B18</f>
        <v>147.02000000000001</v>
      </c>
      <c r="D32" s="22" t="str">
        <f>B19</f>
        <v>UNDERVALUED</v>
      </c>
    </row>
    <row r="33" spans="1:4">
      <c r="A33" s="1" t="s">
        <v>135</v>
      </c>
      <c r="B33" s="10">
        <f>B25</f>
        <v>133.35</v>
      </c>
      <c r="C33" s="10">
        <f>B26</f>
        <v>147.02000000000001</v>
      </c>
      <c r="D33" s="21" t="str">
        <f>B27</f>
        <v>OVERVALUED</v>
      </c>
    </row>
    <row r="34" spans="1:4">
      <c r="A34" s="1" t="s">
        <v>136</v>
      </c>
      <c r="B34" s="10">
        <f>AVERAGE(212, 171.36, 133.35)</f>
        <v>172.23666666666668</v>
      </c>
      <c r="C34" s="10">
        <f>B9</f>
        <v>147.02000000000001</v>
      </c>
    </row>
    <row r="35" spans="1:4">
      <c r="B35" s="10"/>
      <c r="C35" s="10"/>
    </row>
    <row r="36" spans="1:4">
      <c r="A36" s="12" t="s">
        <v>137</v>
      </c>
      <c r="B36" s="12"/>
      <c r="C36" s="12"/>
      <c r="D36" s="12"/>
    </row>
    <row r="37" spans="1:4">
      <c r="A37" s="12" t="s">
        <v>138</v>
      </c>
      <c r="B37" s="23"/>
      <c r="C37" s="23"/>
      <c r="D37" s="12"/>
    </row>
    <row r="38" spans="1:4">
      <c r="A38" s="12" t="s">
        <v>139</v>
      </c>
      <c r="B38" s="12"/>
      <c r="C38" s="12"/>
      <c r="D38" s="12"/>
    </row>
    <row r="39" spans="1:4">
      <c r="A39" s="12" t="s">
        <v>140</v>
      </c>
      <c r="B39" s="12"/>
      <c r="C39" s="12"/>
      <c r="D39" s="12"/>
    </row>
    <row r="40" spans="1:4">
      <c r="A40" s="12" t="s">
        <v>141</v>
      </c>
      <c r="B40" s="12"/>
      <c r="C40" s="12"/>
      <c r="D40" s="12"/>
    </row>
    <row r="41" spans="1:4">
      <c r="A41" s="12" t="s">
        <v>142</v>
      </c>
      <c r="B41" s="12"/>
      <c r="C41" s="12"/>
      <c r="D41" s="12"/>
    </row>
    <row r="42" spans="1:4">
      <c r="A42" s="12" t="s">
        <v>143</v>
      </c>
      <c r="B42" s="12"/>
      <c r="C42" s="12"/>
      <c r="D42" s="12"/>
    </row>
  </sheetData>
  <conditionalFormatting sqref="B10">
    <cfRule type="containsText" dxfId="12" priority="7" operator="containsText" text="UNDERVALUED">
      <formula>NOT(ISERROR(SEARCH("UNDERVALUED",B10)))</formula>
    </cfRule>
    <cfRule type="containsText" dxfId="11" priority="8" operator="containsText" text="OVERVALUED">
      <formula>NOT(ISERROR(SEARCH("OVERVALUED",B10)))</formula>
    </cfRule>
  </conditionalFormatting>
  <conditionalFormatting sqref="B19">
    <cfRule type="containsText" dxfId="10" priority="3" operator="containsText" text="UNDERVALUED">
      <formula>NOT(ISERROR(SEARCH("UNDERVALUED",B19)))</formula>
    </cfRule>
    <cfRule type="containsText" dxfId="9" priority="4" operator="containsText" text="OVERVALUED">
      <formula>NOT(ISERROR(SEARCH("OVERVALUED",B19)))</formula>
    </cfRule>
    <cfRule type="containsText" dxfId="8" priority="6" operator="containsText" text="UNDERVALUED">
      <formula>NOT(ISERROR(SEARCH("UNDERVALUED",B19)))</formula>
    </cfRule>
  </conditionalFormatting>
  <conditionalFormatting sqref="B27">
    <cfRule type="containsText" dxfId="7" priority="1" operator="containsText" text="UNDERVALUED">
      <formula>NOT(ISERROR(SEARCH("UNDERVALUED",B27)))</formula>
    </cfRule>
    <cfRule type="containsText" dxfId="6" priority="2" operator="containsText" text="OVERVALUED">
      <formula>NOT(ISERROR(SEARCH("OVERVALUED",B27)))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1DB4-1A32-4764-B802-DA204B4B19AA}">
  <dimension ref="A1:G41"/>
  <sheetViews>
    <sheetView zoomScale="58" workbookViewId="0">
      <selection activeCell="A39" sqref="A39"/>
    </sheetView>
  </sheetViews>
  <sheetFormatPr defaultRowHeight="14.4"/>
  <cols>
    <col min="1" max="1" width="42.6640625" style="1" customWidth="1"/>
    <col min="2" max="2" width="14.33203125" customWidth="1"/>
    <col min="3" max="3" width="13.44140625" customWidth="1"/>
  </cols>
  <sheetData>
    <row r="1" spans="1:7" ht="21">
      <c r="A1" s="2" t="s">
        <v>144</v>
      </c>
      <c r="D1" t="s">
        <v>145</v>
      </c>
      <c r="G1" s="1"/>
    </row>
    <row r="4" spans="1:7">
      <c r="A4" s="1" t="s">
        <v>146</v>
      </c>
    </row>
    <row r="5" spans="1:7">
      <c r="A5" s="1" t="s">
        <v>147</v>
      </c>
      <c r="B5" s="15">
        <v>2.5000000000000001E-2</v>
      </c>
    </row>
    <row r="6" spans="1:7">
      <c r="A6" s="1" t="s">
        <v>148</v>
      </c>
      <c r="B6" s="15">
        <v>0.90900000000000003</v>
      </c>
    </row>
    <row r="7" spans="1:7">
      <c r="A7" s="1" t="s">
        <v>149</v>
      </c>
      <c r="B7" s="15">
        <v>0.08</v>
      </c>
    </row>
    <row r="8" spans="1:7">
      <c r="A8" s="1" t="s">
        <v>150</v>
      </c>
      <c r="B8" s="15">
        <f>B7-B5</f>
        <v>5.5E-2</v>
      </c>
    </row>
    <row r="9" spans="1:7">
      <c r="A9" s="1" t="s">
        <v>151</v>
      </c>
      <c r="B9" s="15">
        <f>B5+B6*B8</f>
        <v>7.4995000000000006E-2</v>
      </c>
    </row>
    <row r="11" spans="1:7">
      <c r="A11" s="1" t="s">
        <v>152</v>
      </c>
    </row>
    <row r="12" spans="1:7">
      <c r="A12" s="1" t="s">
        <v>153</v>
      </c>
      <c r="B12" t="s">
        <v>154</v>
      </c>
    </row>
    <row r="13" spans="1:7">
      <c r="A13" s="1" t="s">
        <v>155</v>
      </c>
      <c r="B13" t="s">
        <v>156</v>
      </c>
    </row>
    <row r="14" spans="1:7">
      <c r="A14" s="1" t="s">
        <v>157</v>
      </c>
      <c r="B14" t="s">
        <v>158</v>
      </c>
    </row>
    <row r="16" spans="1:7">
      <c r="A16" s="1" t="s">
        <v>159</v>
      </c>
    </row>
    <row r="17" spans="1:4">
      <c r="B17" s="24" t="s">
        <v>160</v>
      </c>
      <c r="C17" s="24" t="s">
        <v>161</v>
      </c>
      <c r="D17" s="24" t="s">
        <v>162</v>
      </c>
    </row>
    <row r="18" spans="1:4">
      <c r="A18" s="1" t="s">
        <v>163</v>
      </c>
      <c r="B18" s="10">
        <v>171600</v>
      </c>
      <c r="C18">
        <f>B18/(B18+B19)</f>
        <v>0.95825236212557796</v>
      </c>
      <c r="D18">
        <f>B9</f>
        <v>7.4995000000000006E-2</v>
      </c>
    </row>
    <row r="19" spans="1:4">
      <c r="A19" s="1" t="s">
        <v>164</v>
      </c>
      <c r="B19" s="10">
        <v>7476</v>
      </c>
      <c r="C19">
        <f>B19/(B18+B19)</f>
        <v>4.1747637874422032E-2</v>
      </c>
      <c r="D19">
        <v>3.5000000000000003E-2</v>
      </c>
    </row>
    <row r="20" spans="1:4">
      <c r="A20" s="1" t="s">
        <v>165</v>
      </c>
      <c r="B20" s="15">
        <v>0.25</v>
      </c>
    </row>
    <row r="21" spans="1:4">
      <c r="A21" s="1" t="s">
        <v>166</v>
      </c>
      <c r="B21" s="15">
        <f>D19*(1-B20)</f>
        <v>2.6250000000000002E-2</v>
      </c>
    </row>
    <row r="22" spans="1:4">
      <c r="A22" s="1" t="s">
        <v>167</v>
      </c>
      <c r="B22" s="15">
        <f>C18*D18+C19*B21</f>
        <v>7.2960011391811297E-2</v>
      </c>
    </row>
    <row r="24" spans="1:4">
      <c r="A24" s="1" t="s">
        <v>168</v>
      </c>
    </row>
    <row r="25" spans="1:4">
      <c r="A25" s="1" t="s">
        <v>169</v>
      </c>
      <c r="B25" s="15">
        <f>D18</f>
        <v>7.4995000000000006E-2</v>
      </c>
    </row>
    <row r="26" spans="1:4">
      <c r="A26" s="1" t="s">
        <v>170</v>
      </c>
      <c r="B26" s="15">
        <f>B21</f>
        <v>2.6250000000000002E-2</v>
      </c>
    </row>
    <row r="27" spans="1:4">
      <c r="A27" s="1" t="s">
        <v>171</v>
      </c>
      <c r="B27" s="15">
        <f>C18</f>
        <v>0.95825236212557796</v>
      </c>
    </row>
    <row r="28" spans="1:4">
      <c r="A28" s="1" t="s">
        <v>172</v>
      </c>
      <c r="B28" s="15">
        <f>C19</f>
        <v>4.1747637874422032E-2</v>
      </c>
    </row>
    <row r="29" spans="1:4">
      <c r="A29" s="1" t="s">
        <v>173</v>
      </c>
      <c r="B29" s="15">
        <f>B22</f>
        <v>7.2960011391811297E-2</v>
      </c>
    </row>
    <row r="31" spans="1:4">
      <c r="A31" s="12" t="s">
        <v>137</v>
      </c>
      <c r="B31" s="13"/>
      <c r="C31" s="13"/>
    </row>
    <row r="32" spans="1:4">
      <c r="A32" s="12" t="s">
        <v>174</v>
      </c>
      <c r="B32" s="13"/>
      <c r="C32" s="13"/>
    </row>
    <row r="33" spans="1:3">
      <c r="A33" s="12" t="s">
        <v>175</v>
      </c>
      <c r="B33" s="13"/>
      <c r="C33" s="13"/>
    </row>
    <row r="34" spans="1:3">
      <c r="A34" s="12" t="s">
        <v>176</v>
      </c>
      <c r="B34" s="13"/>
      <c r="C34" s="13"/>
    </row>
    <row r="35" spans="1:3">
      <c r="A35" s="12" t="s">
        <v>177</v>
      </c>
      <c r="B35" s="13"/>
      <c r="C35" s="13"/>
    </row>
    <row r="36" spans="1:3">
      <c r="A36" s="12" t="s">
        <v>178</v>
      </c>
      <c r="B36" s="13"/>
      <c r="C36" s="13"/>
    </row>
    <row r="37" spans="1:3">
      <c r="A37" s="12" t="s">
        <v>179</v>
      </c>
      <c r="B37" s="13"/>
      <c r="C37" s="13"/>
    </row>
    <row r="38" spans="1:3">
      <c r="A38" s="12" t="s">
        <v>180</v>
      </c>
      <c r="B38" s="12" t="s">
        <v>181</v>
      </c>
      <c r="C38" s="12"/>
    </row>
    <row r="39" spans="1:3">
      <c r="A39" s="12"/>
      <c r="B39" s="12" t="s">
        <v>182</v>
      </c>
      <c r="C39" s="12"/>
    </row>
    <row r="40" spans="1:3">
      <c r="A40" s="12"/>
      <c r="B40" s="12" t="s">
        <v>183</v>
      </c>
      <c r="C40" s="12"/>
    </row>
    <row r="41" spans="1:3">
      <c r="A41" s="12"/>
      <c r="B41" s="12" t="s">
        <v>184</v>
      </c>
      <c r="C41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27FF-3895-4701-9B30-950500DA9EBA}">
  <dimension ref="A1:I39"/>
  <sheetViews>
    <sheetView zoomScale="45" zoomScaleNormal="88" workbookViewId="0">
      <selection activeCell="G54" sqref="G54"/>
    </sheetView>
  </sheetViews>
  <sheetFormatPr defaultRowHeight="14.4"/>
  <cols>
    <col min="1" max="1" width="26.6640625" customWidth="1"/>
    <col min="2" max="2" width="16.33203125" customWidth="1"/>
    <col min="3" max="3" width="16.5546875" customWidth="1"/>
    <col min="4" max="4" width="12.5546875" customWidth="1"/>
    <col min="5" max="5" width="14" customWidth="1"/>
    <col min="6" max="6" width="13.6640625" customWidth="1"/>
    <col min="7" max="7" width="12.33203125" customWidth="1"/>
    <col min="8" max="9" width="14" customWidth="1"/>
  </cols>
  <sheetData>
    <row r="1" spans="1:9" ht="21">
      <c r="A1" s="2" t="s">
        <v>185</v>
      </c>
      <c r="E1" t="s">
        <v>186</v>
      </c>
    </row>
    <row r="4" spans="1:9">
      <c r="A4" s="1" t="s">
        <v>187</v>
      </c>
    </row>
    <row r="5" spans="1:9">
      <c r="A5" s="1" t="s">
        <v>188</v>
      </c>
      <c r="B5">
        <v>500</v>
      </c>
    </row>
    <row r="6" spans="1:9">
      <c r="A6" s="1" t="s">
        <v>189</v>
      </c>
      <c r="B6">
        <v>7</v>
      </c>
    </row>
    <row r="7" spans="1:9">
      <c r="A7" s="1" t="s">
        <v>190</v>
      </c>
      <c r="B7" s="15">
        <v>7.2999999999999995E-2</v>
      </c>
    </row>
    <row r="8" spans="1:9">
      <c r="A8" s="1" t="s">
        <v>165</v>
      </c>
      <c r="B8">
        <v>0.25</v>
      </c>
    </row>
    <row r="9" spans="1:9">
      <c r="A9" s="1" t="s">
        <v>191</v>
      </c>
      <c r="B9">
        <v>50</v>
      </c>
    </row>
    <row r="10" spans="1:9">
      <c r="A10" s="1"/>
    </row>
    <row r="11" spans="1:9">
      <c r="A11" s="1" t="s">
        <v>192</v>
      </c>
    </row>
    <row r="12" spans="1:9">
      <c r="A12" s="1" t="s">
        <v>193</v>
      </c>
      <c r="B12" s="1">
        <v>0</v>
      </c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</row>
    <row r="13" spans="1:9">
      <c r="A13" s="1" t="s">
        <v>194</v>
      </c>
      <c r="B13">
        <v>0</v>
      </c>
      <c r="C13" s="10">
        <v>120</v>
      </c>
      <c r="D13" s="10">
        <v>135</v>
      </c>
      <c r="E13" s="10">
        <v>152</v>
      </c>
      <c r="F13" s="10">
        <v>171</v>
      </c>
      <c r="G13" s="10">
        <v>193</v>
      </c>
      <c r="H13" s="10">
        <v>217</v>
      </c>
      <c r="I13" s="10">
        <v>245</v>
      </c>
    </row>
    <row r="14" spans="1:9">
      <c r="A14" s="1" t="s">
        <v>195</v>
      </c>
      <c r="B14">
        <v>0</v>
      </c>
      <c r="C14" s="10">
        <v>48</v>
      </c>
      <c r="D14" s="10">
        <v>54</v>
      </c>
      <c r="E14" s="10">
        <v>61</v>
      </c>
      <c r="F14" s="10">
        <v>68</v>
      </c>
      <c r="G14" s="10">
        <v>77</v>
      </c>
      <c r="H14" s="10">
        <v>87</v>
      </c>
      <c r="I14" s="10">
        <v>98</v>
      </c>
    </row>
    <row r="15" spans="1:9">
      <c r="A15" s="1" t="s">
        <v>196</v>
      </c>
      <c r="B15">
        <v>0</v>
      </c>
      <c r="C15" s="10">
        <f>$B$5/$B$6</f>
        <v>71.428571428571431</v>
      </c>
      <c r="D15" s="10">
        <f t="shared" ref="D15:I15" si="0">$B$5/$B$6</f>
        <v>71.428571428571431</v>
      </c>
      <c r="E15" s="10">
        <f t="shared" si="0"/>
        <v>71.428571428571431</v>
      </c>
      <c r="F15" s="10">
        <f t="shared" si="0"/>
        <v>71.428571428571431</v>
      </c>
      <c r="G15" s="10">
        <f t="shared" si="0"/>
        <v>71.428571428571431</v>
      </c>
      <c r="H15" s="10">
        <f t="shared" si="0"/>
        <v>71.428571428571431</v>
      </c>
      <c r="I15" s="10">
        <f t="shared" si="0"/>
        <v>71.428571428571431</v>
      </c>
    </row>
    <row r="16" spans="1:9">
      <c r="A16" s="1" t="s">
        <v>197</v>
      </c>
      <c r="B16">
        <v>0</v>
      </c>
      <c r="C16" s="10">
        <f t="shared" ref="C16:I16" si="1">C13-C14-C15</f>
        <v>0.5714285714285694</v>
      </c>
      <c r="D16" s="10">
        <f t="shared" si="1"/>
        <v>9.5714285714285694</v>
      </c>
      <c r="E16" s="10">
        <f t="shared" si="1"/>
        <v>19.571428571428569</v>
      </c>
      <c r="F16" s="10">
        <f t="shared" si="1"/>
        <v>31.571428571428569</v>
      </c>
      <c r="G16" s="10">
        <f t="shared" si="1"/>
        <v>44.571428571428569</v>
      </c>
      <c r="H16" s="10">
        <f t="shared" si="1"/>
        <v>58.571428571428569</v>
      </c>
      <c r="I16" s="10">
        <f t="shared" si="1"/>
        <v>75.571428571428569</v>
      </c>
    </row>
    <row r="17" spans="1:9">
      <c r="A17" s="1" t="s">
        <v>198</v>
      </c>
      <c r="B17">
        <v>0</v>
      </c>
      <c r="C17" s="11">
        <f>C16*$B$8</f>
        <v>0.14285714285714235</v>
      </c>
      <c r="D17" s="11">
        <f t="shared" ref="D17" si="2">D16*$B$8</f>
        <v>2.3928571428571423</v>
      </c>
      <c r="E17" s="11">
        <f>E16*$B$8</f>
        <v>4.8928571428571423</v>
      </c>
      <c r="F17" s="11">
        <f>F16*$B$8</f>
        <v>7.8928571428571423</v>
      </c>
      <c r="G17" s="11">
        <f>G16*$B$8</f>
        <v>11.142857142857142</v>
      </c>
      <c r="H17" s="11">
        <f>H16*$B$8</f>
        <v>14.642857142857142</v>
      </c>
      <c r="I17" s="11">
        <f>I16*$B$8</f>
        <v>18.892857142857142</v>
      </c>
    </row>
    <row r="18" spans="1:9">
      <c r="A18" s="1" t="s">
        <v>199</v>
      </c>
      <c r="B18">
        <f>-B5</f>
        <v>-500</v>
      </c>
      <c r="C18" s="10">
        <f t="shared" ref="C18:H18" si="3">C16-C17+C15</f>
        <v>71.857142857142861</v>
      </c>
      <c r="D18" s="10">
        <f t="shared" si="3"/>
        <v>78.607142857142861</v>
      </c>
      <c r="E18" s="10">
        <f t="shared" si="3"/>
        <v>86.107142857142861</v>
      </c>
      <c r="F18" s="10">
        <f t="shared" si="3"/>
        <v>95.107142857142861</v>
      </c>
      <c r="G18" s="10">
        <f t="shared" si="3"/>
        <v>104.85714285714286</v>
      </c>
      <c r="H18" s="10">
        <f t="shared" si="3"/>
        <v>115.35714285714286</v>
      </c>
      <c r="I18" s="10">
        <f>I16-I17+I15+B9</f>
        <v>178.10714285714286</v>
      </c>
    </row>
    <row r="20" spans="1:9">
      <c r="A20" s="1" t="s">
        <v>200</v>
      </c>
    </row>
    <row r="21" spans="1:9">
      <c r="A21" s="1" t="s">
        <v>201</v>
      </c>
      <c r="B21" s="11">
        <f>NPV(B7,C18:I18)+B18</f>
        <v>34.766229744385555</v>
      </c>
    </row>
    <row r="22" spans="1:9">
      <c r="A22" s="1" t="s">
        <v>202</v>
      </c>
      <c r="B22" s="25">
        <f>IRR(B18:I18)</f>
        <v>9.0164510601522085E-2</v>
      </c>
    </row>
    <row r="23" spans="1:9">
      <c r="A23" s="1" t="s">
        <v>203</v>
      </c>
      <c r="B23">
        <v>4.2</v>
      </c>
    </row>
    <row r="24" spans="1:9">
      <c r="A24" s="1" t="s">
        <v>204</v>
      </c>
      <c r="B24">
        <f>(B21+B5)/B5</f>
        <v>1.0695324594887712</v>
      </c>
    </row>
    <row r="25" spans="1:9">
      <c r="A25" s="1" t="s">
        <v>205</v>
      </c>
      <c r="B25" t="str">
        <f>IF(B21&gt;0,"ACCEPT PROJECT","REJECT PROJECT")</f>
        <v>ACCEPT PROJECT</v>
      </c>
    </row>
    <row r="27" spans="1:9">
      <c r="A27" s="1" t="s">
        <v>206</v>
      </c>
      <c r="B27" s="1" t="s">
        <v>207</v>
      </c>
    </row>
    <row r="28" spans="1:9">
      <c r="A28" s="1" t="s">
        <v>208</v>
      </c>
      <c r="B28" s="10">
        <f>NPV(0.08,C18:I18)+B18</f>
        <v>20.170946429984269</v>
      </c>
      <c r="C28" s="1"/>
      <c r="D28" s="1"/>
      <c r="E28" s="1"/>
    </row>
    <row r="29" spans="1:9">
      <c r="A29" s="1" t="s">
        <v>209</v>
      </c>
      <c r="B29" s="10">
        <f>NPV(0.1,C18:I18)+B18</f>
        <v>-18.436452701552923</v>
      </c>
    </row>
    <row r="30" spans="1:9">
      <c r="A30" s="1" t="s">
        <v>210</v>
      </c>
      <c r="B30" s="10">
        <f>NPV(0.12,C18:I18)+B18</f>
        <v>-52.93612775477834</v>
      </c>
    </row>
    <row r="31" spans="1:9">
      <c r="B31" s="10"/>
    </row>
    <row r="33" spans="1:5">
      <c r="A33" s="12" t="s">
        <v>29</v>
      </c>
      <c r="B33" s="13"/>
      <c r="C33" s="13"/>
      <c r="D33" s="13"/>
      <c r="E33" s="13"/>
    </row>
    <row r="34" spans="1:5">
      <c r="A34" s="12" t="s">
        <v>211</v>
      </c>
      <c r="B34" s="13"/>
      <c r="C34" s="13"/>
      <c r="D34" s="13"/>
      <c r="E34" s="13"/>
    </row>
    <row r="35" spans="1:5">
      <c r="A35" s="12" t="s">
        <v>212</v>
      </c>
      <c r="B35" s="13"/>
      <c r="C35" s="13"/>
      <c r="D35" s="13"/>
      <c r="E35" s="13"/>
    </row>
    <row r="36" spans="1:5">
      <c r="A36" s="12" t="s">
        <v>213</v>
      </c>
      <c r="B36" s="13"/>
      <c r="C36" s="13"/>
      <c r="D36" s="13"/>
      <c r="E36" s="13"/>
    </row>
    <row r="37" spans="1:5">
      <c r="A37" s="12" t="s">
        <v>214</v>
      </c>
      <c r="B37" s="13"/>
      <c r="C37" s="13"/>
      <c r="D37" s="13"/>
      <c r="E37" s="13"/>
    </row>
    <row r="38" spans="1:5">
      <c r="A38" s="12" t="s">
        <v>215</v>
      </c>
      <c r="B38" s="13"/>
      <c r="C38" s="13"/>
      <c r="D38" s="13"/>
      <c r="E38" s="13"/>
    </row>
    <row r="39" spans="1:5">
      <c r="A39" s="12" t="s">
        <v>216</v>
      </c>
      <c r="B39" s="13"/>
      <c r="C39" s="13"/>
      <c r="D39" s="13"/>
      <c r="E39" s="13"/>
    </row>
  </sheetData>
  <conditionalFormatting sqref="B25">
    <cfRule type="containsText" dxfId="5" priority="1" operator="containsText" text="ACCEPT PROJECT">
      <formula>NOT(ISERROR(SEARCH("ACCEPT PROJECT",B25)))</formula>
    </cfRule>
    <cfRule type="containsText" dxfId="4" priority="2" operator="containsText" text="REJECT PROJECT">
      <formula>NOT(ISERROR(SEARCH("REJECT PROJECT",B25)))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14D7-82E4-4AAB-91AB-48C50601398C}">
  <dimension ref="A1:G64"/>
  <sheetViews>
    <sheetView tabSelected="1" topLeftCell="A11" zoomScale="56" zoomScaleNormal="43" workbookViewId="0">
      <selection activeCell="T71" sqref="T71"/>
    </sheetView>
  </sheetViews>
  <sheetFormatPr defaultRowHeight="14.4"/>
  <cols>
    <col min="1" max="1" width="25.33203125" style="1" customWidth="1"/>
    <col min="2" max="2" width="15.109375" customWidth="1"/>
    <col min="3" max="4" width="11" bestFit="1" customWidth="1"/>
    <col min="5" max="7" width="12" bestFit="1" customWidth="1"/>
  </cols>
  <sheetData>
    <row r="1" spans="1:7" ht="21">
      <c r="A1" s="2" t="s">
        <v>217</v>
      </c>
      <c r="G1" t="s">
        <v>218</v>
      </c>
    </row>
    <row r="4" spans="1:7">
      <c r="A4" s="1" t="s">
        <v>219</v>
      </c>
    </row>
    <row r="5" spans="1:7">
      <c r="A5" s="1" t="s">
        <v>167</v>
      </c>
      <c r="B5" s="15">
        <v>7.2999999999999995E-2</v>
      </c>
    </row>
    <row r="6" spans="1:7">
      <c r="A6" s="1" t="s">
        <v>220</v>
      </c>
      <c r="B6" s="15">
        <v>0.03</v>
      </c>
    </row>
    <row r="7" spans="1:7">
      <c r="A7" s="1" t="s">
        <v>221</v>
      </c>
      <c r="B7">
        <v>1165</v>
      </c>
    </row>
    <row r="8" spans="1:7">
      <c r="A8" s="1" t="s">
        <v>116</v>
      </c>
      <c r="B8" s="10">
        <v>147.02000000000001</v>
      </c>
    </row>
    <row r="9" spans="1:7">
      <c r="A9" s="1" t="s">
        <v>222</v>
      </c>
      <c r="B9" s="10">
        <f>7476-5000</f>
        <v>2476</v>
      </c>
    </row>
    <row r="11" spans="1:7">
      <c r="A11" s="1" t="s">
        <v>223</v>
      </c>
    </row>
    <row r="12" spans="1:7">
      <c r="B12" s="1" t="s">
        <v>224</v>
      </c>
      <c r="C12" s="1" t="s">
        <v>40</v>
      </c>
      <c r="D12" s="1" t="s">
        <v>41</v>
      </c>
      <c r="E12" s="1" t="s">
        <v>42</v>
      </c>
      <c r="F12" s="1" t="s">
        <v>225</v>
      </c>
      <c r="G12" s="1" t="s">
        <v>226</v>
      </c>
    </row>
    <row r="13" spans="1:7">
      <c r="A13" s="1" t="s">
        <v>227</v>
      </c>
      <c r="B13" s="10">
        <v>8417</v>
      </c>
      <c r="C13" s="10">
        <f>1.08*B13</f>
        <v>9090.36</v>
      </c>
      <c r="D13" s="10">
        <f t="shared" ref="D13:F13" si="0">1.08*C13</f>
        <v>9817.5888000000014</v>
      </c>
      <c r="E13" s="10">
        <f t="shared" si="0"/>
        <v>10602.995904000003</v>
      </c>
      <c r="F13" s="10">
        <f t="shared" si="0"/>
        <v>11451.235576320005</v>
      </c>
      <c r="G13" s="10">
        <f>1.08*F13</f>
        <v>12367.334422425605</v>
      </c>
    </row>
    <row r="15" spans="1:7">
      <c r="A15" s="1" t="s">
        <v>228</v>
      </c>
    </row>
    <row r="16" spans="1:7">
      <c r="A16" s="1" t="s">
        <v>229</v>
      </c>
      <c r="B16">
        <f>1/(1+$B$5)^1</f>
        <v>0.93196644920782856</v>
      </c>
    </row>
    <row r="17" spans="1:2">
      <c r="A17" s="1" t="s">
        <v>230</v>
      </c>
      <c r="B17">
        <f>1/(1+$B$5)^2</f>
        <v>0.86856146244904819</v>
      </c>
    </row>
    <row r="18" spans="1:2">
      <c r="A18" s="1" t="s">
        <v>231</v>
      </c>
      <c r="B18">
        <f>1/(1+$B$5)^3</f>
        <v>0.8094701420773982</v>
      </c>
    </row>
    <row r="19" spans="1:2">
      <c r="A19" s="1" t="s">
        <v>232</v>
      </c>
      <c r="B19">
        <f>1/(1+$B$5)^14</f>
        <v>0.37290988224849969</v>
      </c>
    </row>
    <row r="20" spans="1:2">
      <c r="A20" s="1" t="s">
        <v>233</v>
      </c>
      <c r="B20">
        <f>1/(1+$B$5)^5</f>
        <v>0.70307457041158372</v>
      </c>
    </row>
    <row r="22" spans="1:2">
      <c r="A22" s="1" t="s">
        <v>234</v>
      </c>
      <c r="B22" s="10">
        <f>C13*B16</f>
        <v>8471.9105312208776</v>
      </c>
    </row>
    <row r="23" spans="1:2">
      <c r="A23" s="1" t="s">
        <v>235</v>
      </c>
      <c r="B23" s="10">
        <f>D13*B17</f>
        <v>8527.1792858513982</v>
      </c>
    </row>
    <row r="24" spans="1:2">
      <c r="A24" s="1" t="s">
        <v>236</v>
      </c>
      <c r="B24" s="10">
        <f>E13*B18</f>
        <v>8582.8086008569535</v>
      </c>
    </row>
    <row r="25" spans="1:2">
      <c r="A25" s="1" t="s">
        <v>237</v>
      </c>
      <c r="B25" s="10">
        <f>F13*B19</f>
        <v>4270.2789103653231</v>
      </c>
    </row>
    <row r="26" spans="1:2">
      <c r="A26" s="1" t="s">
        <v>238</v>
      </c>
      <c r="B26" s="10">
        <f>G13*B20</f>
        <v>8695.1583361832745</v>
      </c>
    </row>
    <row r="27" spans="1:2">
      <c r="A27" s="1" t="s">
        <v>239</v>
      </c>
      <c r="B27" s="10">
        <f>SUM(B22:B26)</f>
        <v>38547.335664477825</v>
      </c>
    </row>
    <row r="29" spans="1:2">
      <c r="A29" s="1" t="s">
        <v>240</v>
      </c>
      <c r="B29">
        <f>(G13*(1+B6))/(B5-B6)</f>
        <v>296240.80128135753</v>
      </c>
    </row>
    <row r="30" spans="1:2">
      <c r="A30" s="1" t="s">
        <v>241</v>
      </c>
      <c r="B30">
        <f>B29*B20</f>
        <v>208279.37409927379</v>
      </c>
    </row>
    <row r="31" spans="1:2">
      <c r="A31" s="1" t="s">
        <v>242</v>
      </c>
      <c r="B31" s="10">
        <f>B27+B30</f>
        <v>246826.7097637516</v>
      </c>
    </row>
    <row r="32" spans="1:2">
      <c r="A32" s="1" t="s">
        <v>243</v>
      </c>
      <c r="B32" s="10">
        <f>B9</f>
        <v>2476</v>
      </c>
    </row>
    <row r="33" spans="1:2">
      <c r="A33" s="1" t="s">
        <v>244</v>
      </c>
      <c r="B33" s="10">
        <f>B31-B32</f>
        <v>244350.7097637516</v>
      </c>
    </row>
    <row r="34" spans="1:2">
      <c r="A34" s="1" t="s">
        <v>245</v>
      </c>
      <c r="B34" s="10">
        <f>B33/B7</f>
        <v>209.74309850965801</v>
      </c>
    </row>
    <row r="36" spans="1:2">
      <c r="A36" s="1" t="s">
        <v>246</v>
      </c>
    </row>
    <row r="37" spans="1:2">
      <c r="A37" s="1" t="s">
        <v>247</v>
      </c>
      <c r="B37" s="10">
        <f>B34</f>
        <v>209.74309850965801</v>
      </c>
    </row>
    <row r="38" spans="1:2">
      <c r="A38" s="1" t="s">
        <v>248</v>
      </c>
      <c r="B38" s="10">
        <f>B8</f>
        <v>147.02000000000001</v>
      </c>
    </row>
    <row r="39" spans="1:2">
      <c r="A39" s="1" t="s">
        <v>124</v>
      </c>
      <c r="B39" s="15">
        <f>(B37-B38)/B38</f>
        <v>0.42662970010650247</v>
      </c>
    </row>
    <row r="40" spans="1:2">
      <c r="A40" s="1" t="s">
        <v>118</v>
      </c>
      <c r="B40" s="15">
        <f>IF(B37&gt;B38,(B37-B38)/B37,( B38-B37)/B38)</f>
        <v>0.2990472580759066</v>
      </c>
    </row>
    <row r="42" spans="1:2">
      <c r="A42" s="1" t="s">
        <v>249</v>
      </c>
    </row>
    <row r="43" spans="1:2">
      <c r="A43" s="1" t="s">
        <v>250</v>
      </c>
      <c r="B43" s="10">
        <v>7476</v>
      </c>
    </row>
    <row r="44" spans="1:2">
      <c r="A44" s="1" t="s">
        <v>251</v>
      </c>
      <c r="B44" s="10">
        <v>171600</v>
      </c>
    </row>
    <row r="45" spans="1:2">
      <c r="A45" s="1" t="s">
        <v>252</v>
      </c>
      <c r="B45" s="15">
        <f>B43/(B43+B44)</f>
        <v>4.1747637874422032E-2</v>
      </c>
    </row>
    <row r="46" spans="1:2">
      <c r="A46" s="1" t="s">
        <v>253</v>
      </c>
      <c r="B46" s="15">
        <f>B44/(B43+B44)</f>
        <v>0.95825236212557796</v>
      </c>
    </row>
    <row r="47" spans="1:2">
      <c r="A47" s="1" t="s">
        <v>254</v>
      </c>
      <c r="B47" s="15">
        <f>B43/B44</f>
        <v>4.3566433566433568E-2</v>
      </c>
    </row>
    <row r="49" spans="1:5">
      <c r="A49" s="1" t="s">
        <v>255</v>
      </c>
    </row>
    <row r="50" spans="1:5">
      <c r="A50" s="1" t="s">
        <v>256</v>
      </c>
      <c r="B50" s="10">
        <f>B34</f>
        <v>209.74309850965801</v>
      </c>
    </row>
    <row r="51" spans="1:5">
      <c r="A51" s="1" t="s">
        <v>257</v>
      </c>
      <c r="B51" s="11">
        <v>212</v>
      </c>
    </row>
    <row r="52" spans="1:5">
      <c r="A52" s="1" t="s">
        <v>258</v>
      </c>
      <c r="B52" s="11">
        <v>171.36</v>
      </c>
    </row>
    <row r="53" spans="1:5">
      <c r="A53" s="1" t="s">
        <v>259</v>
      </c>
      <c r="B53" s="11">
        <f>AVERAGE(B50:B52)</f>
        <v>197.70103283655268</v>
      </c>
    </row>
    <row r="54" spans="1:5">
      <c r="A54" s="1" t="s">
        <v>248</v>
      </c>
      <c r="B54" s="11">
        <f>B8</f>
        <v>147.02000000000001</v>
      </c>
    </row>
    <row r="55" spans="1:5" ht="18">
      <c r="A55" s="1" t="s">
        <v>260</v>
      </c>
      <c r="B55" s="26" t="str">
        <f>IF(B53&gt;B54*1.1,"BUY",IF(B53&lt;B54*0.9,"SELL","HOLD"))</f>
        <v>BUY</v>
      </c>
    </row>
    <row r="56" spans="1:5">
      <c r="A56" s="1" t="s">
        <v>261</v>
      </c>
      <c r="B56" s="10">
        <f>B53</f>
        <v>197.70103283655268</v>
      </c>
    </row>
    <row r="58" spans="1:5">
      <c r="A58" s="12" t="s">
        <v>262</v>
      </c>
      <c r="B58" s="13"/>
      <c r="C58" s="13"/>
      <c r="D58" s="13"/>
      <c r="E58" s="13"/>
    </row>
    <row r="59" spans="1:5">
      <c r="A59" s="12" t="s">
        <v>263</v>
      </c>
      <c r="B59" s="13"/>
      <c r="C59" s="13"/>
      <c r="D59" s="13"/>
      <c r="E59" s="13"/>
    </row>
    <row r="60" spans="1:5">
      <c r="A60" s="12" t="s">
        <v>264</v>
      </c>
      <c r="B60" s="13"/>
      <c r="C60" s="13"/>
      <c r="D60" s="13"/>
      <c r="E60" s="13"/>
    </row>
    <row r="61" spans="1:5">
      <c r="A61" s="12" t="s">
        <v>265</v>
      </c>
      <c r="B61" s="13"/>
      <c r="C61" s="13"/>
      <c r="D61" s="13"/>
      <c r="E61" s="13"/>
    </row>
    <row r="62" spans="1:5">
      <c r="A62" s="12" t="s">
        <v>266</v>
      </c>
      <c r="B62" s="13"/>
      <c r="C62" s="13"/>
      <c r="D62" s="13"/>
      <c r="E62" s="13"/>
    </row>
    <row r="63" spans="1:5">
      <c r="A63" s="12" t="s">
        <v>267</v>
      </c>
      <c r="B63" s="13"/>
      <c r="C63" s="13"/>
      <c r="D63" s="13"/>
      <c r="E63" s="13"/>
    </row>
    <row r="64" spans="1:5">
      <c r="A64" s="12" t="s">
        <v>268</v>
      </c>
      <c r="B64" s="13"/>
      <c r="C64" s="13"/>
      <c r="D64" s="13"/>
      <c r="E64" s="13"/>
    </row>
  </sheetData>
  <phoneticPr fontId="8" type="noConversion"/>
  <conditionalFormatting sqref="B55">
    <cfRule type="containsText" dxfId="3" priority="1" operator="containsText" text="SELL">
      <formula>NOT(ISERROR(SEARCH("SELL",B55)))</formula>
    </cfRule>
    <cfRule type="containsText" dxfId="2" priority="2" operator="containsText" text="HOLD">
      <formula>NOT(ISERROR(SEARCH("HOLD",B55)))</formula>
    </cfRule>
    <cfRule type="containsText" dxfId="1" priority="3" operator="containsText" text="SELL">
      <formula>NOT(ISERROR(SEARCH("SELL",B55)))</formula>
    </cfRule>
    <cfRule type="containsText" dxfId="0" priority="4" operator="containsText" text="BUY">
      <formula>NOT(ISERROR(SEARCH("BUY",B55)))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86B516B0CBCE00418763BDE062EA988A" ma:contentTypeVersion="6" ma:contentTypeDescription="Yeni belge oluşturun." ma:contentTypeScope="" ma:versionID="88772f570aec1d18a8b4dcfb0d929228">
  <xsd:schema xmlns:xsd="http://www.w3.org/2001/XMLSchema" xmlns:xs="http://www.w3.org/2001/XMLSchema" xmlns:p="http://schemas.microsoft.com/office/2006/metadata/properties" xmlns:ns3="d9c659c3-6a29-4640-af77-7f484d20bd8a" targetNamespace="http://schemas.microsoft.com/office/2006/metadata/properties" ma:root="true" ma:fieldsID="3f81ff76eebce8ffc3710c59267ff845" ns3:_="">
    <xsd:import namespace="d9c659c3-6a29-4640-af77-7f484d20bd8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659c3-6a29-4640-af77-7f484d20bd8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c659c3-6a29-4640-af77-7f484d20bd8a" xsi:nil="true"/>
  </documentManagement>
</p:properties>
</file>

<file path=customXml/itemProps1.xml><?xml version="1.0" encoding="utf-8"?>
<ds:datastoreItem xmlns:ds="http://schemas.openxmlformats.org/officeDocument/2006/customXml" ds:itemID="{48578387-8988-484A-8D72-869CD9901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c659c3-6a29-4640-af77-7f484d20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7FAD8E-2834-471A-86E9-7AA4B86DB7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D3CA83-8A7E-4889-9769-9C7D29BD112B}">
  <ds:schemaRefs>
    <ds:schemaRef ds:uri="http://schemas.microsoft.com/office/2006/metadata/properties"/>
    <ds:schemaRef ds:uri="http://schemas.microsoft.com/office/infopath/2007/PartnerControls"/>
    <ds:schemaRef ds:uri="d9c659c3-6a29-4640-af77-7f484d20bd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1_Overview</vt:lpstr>
      <vt:lpstr>2_ProForma</vt:lpstr>
      <vt:lpstr>3_TVM</vt:lpstr>
      <vt:lpstr>4_Bonds</vt:lpstr>
      <vt:lpstr>5_StockVal</vt:lpstr>
      <vt:lpstr>6_CAPM_WACC</vt:lpstr>
      <vt:lpstr>7_CapBudget</vt:lpstr>
      <vt:lpstr>8_DCF_Verdict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Raspina Jafari</dc:creator>
  <cp:keywords/>
  <dc:description/>
  <cp:lastModifiedBy>Raspina Jafari</cp:lastModifiedBy>
  <cp:revision/>
  <dcterms:created xsi:type="dcterms:W3CDTF">2026-03-30T19:44:16Z</dcterms:created>
  <dcterms:modified xsi:type="dcterms:W3CDTF">2026-03-31T23:37:31Z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0x01010086B516B0CBCE00418763BDE062EA988A</vt:lpwstr>
  </property>
</Properties>
</file>